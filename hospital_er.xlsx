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esktop\Project\"/>
    </mc:Choice>
  </mc:AlternateContent>
  <xr:revisionPtr revIDLastSave="0" documentId="13_ncr:1_{EAC3B514-430A-4304-B6F8-2A1A1DF9B661}" xr6:coauthVersionLast="47" xr6:coauthVersionMax="47" xr10:uidLastSave="{00000000-0000-0000-0000-000000000000}"/>
  <bookViews>
    <workbookView xWindow="-120" yWindow="-120" windowWidth="29040" windowHeight="15720" activeTab="2" xr2:uid="{78C27BD0-CAAA-46E2-9E1C-72052770EC19}"/>
  </bookViews>
  <sheets>
    <sheet name="Pivot Report" sheetId="1" r:id="rId1"/>
    <sheet name="Satisfaction Score Daily trend" sheetId="6" r:id="rId2"/>
    <sheet name="Dashboard" sheetId="2" r:id="rId3"/>
    <sheet name="Avg Wait time" sheetId="5" r:id="rId4"/>
    <sheet name="Daily ER Visits" sheetId="4" r:id="rId5"/>
  </sheets>
  <definedNames>
    <definedName name="Slicer_Date__Month">#N/A</definedName>
    <definedName name="Slicer_Date__Year">#N/A</definedName>
  </definedNames>
  <calcPr calcId="191029"/>
  <pivotCaches>
    <pivotCache cacheId="1248" r:id="rId6"/>
    <pivotCache cacheId="1251" r:id="rId7"/>
    <pivotCache cacheId="1254" r:id="rId8"/>
    <pivotCache cacheId="1257" r:id="rId9"/>
    <pivotCache cacheId="1260" r:id="rId10"/>
    <pivotCache cacheId="1263" r:id="rId11"/>
    <pivotCache cacheId="1266" r:id="rId12"/>
    <pivotCache cacheId="1269" r:id="rId13"/>
    <pivotCache cacheId="1272" r:id="rId14"/>
    <pivotCache cacheId="1275" r:id="rId15"/>
    <pivotCache cacheId="1278" r:id="rId16"/>
    <pivotCache cacheId="1281" r:id="rId17"/>
  </pivotCaches>
  <extLst>
    <ext xmlns:x14="http://schemas.microsoft.com/office/spreadsheetml/2009/9/main" uri="{876F7934-8845-4945-9796-88D515C7AA90}">
      <x14:pivotCaches>
        <pivotCache cacheId="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5ecba86-493b-4b97-887a-3d74b7ab53e4" name="Hospital Emergency Room Data" connection="Query - Hospital Emergency Room Data"/>
          <x15:modelTable id="Calendar Table_9c8dc84b-df6d-49cc-a60f-0c5088d3727a" name="Calendar Table" connection="Query - Calendar Table"/>
        </x15:modelTables>
        <x15:modelRelationships>
          <x15:modelRelationship fromTable="Hospital Emergency Room 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0" i="1" l="1"/>
  <c r="A41" i="1"/>
  <c r="B40" i="1"/>
  <c r="C40" i="1"/>
  <c r="B41" i="1"/>
  <c r="C4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9C5EF3-FEE1-4C30-B69E-BD368750B0B1}" name="Query - Calendar Table" description="Connection to the 'Calendar Table' query in the workbook." type="100" refreshedVersion="8" minRefreshableVersion="5">
    <extLst>
      <ext xmlns:x15="http://schemas.microsoft.com/office/spreadsheetml/2010/11/main" uri="{DE250136-89BD-433C-8126-D09CA5730AF9}">
        <x15:connection id="a8bc1bb8-2f6d-4e5f-b57a-360bb1223520">
          <x15:oledbPr connection="Provider=Microsoft.Mashup.OleDb.1;Data Source=$Workbook$;Location=&quot;Calendar Table&quot;;Extended Properties=&quot;&quot;">
            <x15:dbTables>
              <x15:dbTable name="Calendar Table"/>
            </x15:dbTables>
          </x15:oledbPr>
        </x15:connection>
      </ext>
    </extLst>
  </connection>
  <connection id="2" xr16:uid="{48E23297-180E-401B-87FE-C512B9978BA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4c0d78c-8af0-4749-a19d-ac85102cab8c"/>
      </ext>
    </extLst>
  </connection>
  <connection id="3" xr16:uid="{942422F6-4C96-4B73-A738-C3FE68B7CC0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<sst xmlns="http://schemas.openxmlformats.org/spreadsheetml/2006/main" count="154" uniqueCount="74">
  <si>
    <t>Count of Patient Id</t>
  </si>
  <si>
    <t>No. of Patient</t>
  </si>
  <si>
    <t>Average of Patient Waittime</t>
  </si>
  <si>
    <t>Average of Patient Satisfaction Score</t>
  </si>
  <si>
    <t>Grand Total</t>
  </si>
  <si>
    <t>Row Labels</t>
  </si>
  <si>
    <t>Distinct Count of Patient Id</t>
  </si>
  <si>
    <t>Daily Trends no. of patient</t>
  </si>
  <si>
    <t>Average wait time</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</si>
  <si>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</si>
  <si>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</si>
  <si>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</si>
  <si>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</si>
  <si>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</si>
  <si>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</si>
  <si>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</si>
  <si>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</si>
  <si>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</si>
  <si>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</si>
  <si>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</si>
  <si>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</si>
  <si>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</si>
  <si>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</si>
  <si>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</si>
  <si>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</si>
  <si>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</si>
  <si>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</si>
  <si>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</si>
  <si>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</si>
  <si>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</si>
  <si>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</si>
  <si>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</si>
  <si>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</si>
  <si>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</si>
  <si>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</si>
  <si>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</si>
  <si>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</si>
  <si>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</si>
  <si>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</si>
  <si>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</si>
  <si>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Satisfaxction Score daily trend</t>
  </si>
  <si>
    <t>Admitted</t>
  </si>
  <si>
    <t>Not Admitted</t>
  </si>
  <si>
    <t>Count of Patient Admission Flag_1</t>
  </si>
  <si>
    <t>Count of Patient Admission Flag_1_2</t>
  </si>
  <si>
    <t>Admission Status</t>
  </si>
  <si>
    <t>% Status</t>
  </si>
  <si>
    <t>0-9</t>
  </si>
  <si>
    <t>10-19</t>
  </si>
  <si>
    <t>20-29</t>
  </si>
  <si>
    <t>30-39</t>
  </si>
  <si>
    <t>40-49</t>
  </si>
  <si>
    <t>50-59</t>
  </si>
  <si>
    <t>60-69</t>
  </si>
  <si>
    <t>70-79</t>
  </si>
  <si>
    <t>Count of Patient Age</t>
  </si>
  <si>
    <t>age group wise analysis</t>
  </si>
  <si>
    <t>Ontime</t>
  </si>
  <si>
    <t>Delay</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</si>
  <si>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</si>
  <si>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</si>
  <si>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</si>
  <si>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</si>
  <si>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</si>
  <si>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</si>
  <si>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</si>
  <si>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</si>
  <si>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</si>
  <si>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</si>
  <si>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</si>
  <si>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</si>
  <si>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</si>
  <si>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</si>
  <si>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No. Of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</si>
</sst>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3" tint="0.499984740745262"/>
        <bgColor theme="4" tint="0.79998168889431442"/>
      </patternFill>
    </fill>
    <fill>
      <patternFill patternType="solid">
        <fgColor theme="3" tint="0.499984740745262"/>
        <bgColor indexed="64"/>
      </patternFill>
    </fill>
  </fills>
  <borders count="2">
    <border>
      <left/>
      <right/>
      <top/>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 borderId="0" xfId="0" applyFill="1"/>
    <xf numFmtId="10" fontId="2" fillId="4" borderId="1" xfId="0" applyNumberFormat="1" applyFont="1" applyFill="1" applyBorder="1"/>
    <xf numFmtId="0" fontId="0" fillId="5" borderId="0" xfId="0" applyFill="1"/>
    <xf numFmtId="0" fontId="0" fillId="0" borderId="0" xfId="0" applyFill="1"/>
    <xf numFmtId="0" fontId="0" fillId="3" borderId="0" xfId="0" applyFill="1" applyAlignment="1">
      <alignment horizontal="center" vertical="center"/>
    </xf>
    <xf numFmtId="0" fontId="0" fillId="3" borderId="0" xfId="0" applyNumberFormat="1" applyFill="1" applyAlignment="1">
      <alignment horizontal="center" vertical="center"/>
    </xf>
    <xf numFmtId="9" fontId="0" fillId="3" borderId="0" xfId="1" applyNumberFormat="1" applyFont="1" applyFill="1" applyAlignment="1">
      <alignment horizontal="left" vertical="center"/>
    </xf>
    <xf numFmtId="9" fontId="0" fillId="0" borderId="0" xfId="0" applyNumberFormat="1"/>
  </cellXfs>
  <cellStyles count="2">
    <cellStyle name="Normal" xfId="0" builtinId="0"/>
    <cellStyle name="Per cent" xfId="1" builtinId="5"/>
  </cellStyles>
  <dxfs count="337">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font>
        <b/>
        <color theme="1"/>
      </font>
      <border>
        <bottom style="thin">
          <color theme="5"/>
        </bottom>
        <vertical/>
        <horizontal/>
      </border>
    </dxf>
    <dxf>
      <font>
        <sz val="8"/>
        <color theme="1"/>
      </font>
      <fill>
        <patternFill patternType="none">
          <bgColor auto="1"/>
        </patternFill>
      </fill>
      <border>
        <left style="thin">
          <color theme="5"/>
        </left>
        <right style="thin">
          <color theme="5"/>
        </right>
        <top style="thin">
          <color theme="5"/>
        </top>
        <bottom style="thin">
          <color theme="5"/>
        </bottom>
        <vertical/>
        <horizontal/>
      </border>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13" formatCode="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3" formatCode="0%"/>
    </dxf>
    <dxf>
      <numFmt numFmtId="14" formatCode="0.00%"/>
    </dxf>
    <dxf>
      <numFmt numFmtId="1" formatCode="0"/>
    </dxf>
    <dxf>
      <numFmt numFmtId="1" formatCode="0"/>
    </dxf>
    <dxf>
      <numFmt numFmtId="1" formatCode="0"/>
    </dxf>
    <dxf>
      <numFmt numFmtId="14"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s>
  <tableStyles count="2" defaultTableStyle="TableStyleMedium2" defaultPivotStyle="PivotStyleLight16">
    <tableStyle name="mystyle" pivot="0" table="0" count="10" xr9:uid="{44FBF446-6790-44D5-9D45-5E5EB8724088}">
      <tableStyleElement type="wholeTable" dxfId="46"/>
      <tableStyleElement type="headerRow" dxfId="45"/>
    </tableStyle>
    <tableStyle name="mystyle 2" pivot="0" table="0" count="10" xr9:uid="{05C4D2F5-43BB-4710-A2F2-866B10069C23}">
      <tableStyleElement type="wholeTable" dxfId="63"/>
      <tableStyleElement type="headerRow" dxfId="62"/>
    </tableStyle>
  </tableStyle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style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9A4ED037-E146-4930-98BC-37E59166216A}" type="CELLRANGE">
                  <a:rPr lang="en-US"/>
                  <a:pPr>
                    <a:defRPr sz="600" b="1"/>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0"/>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73BCF8B3-B9DA-4D78-BD40-18D9B20F70B1}" type="CELLRANGE">
                  <a:rPr lang="en-US"/>
                  <a:pPr>
                    <a:defRPr sz="600" b="1"/>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0"/>
            </c:ext>
          </c:extLst>
        </c:dLbl>
      </c:pivotFmt>
    </c:pivotFmts>
    <c:plotArea>
      <c:layout>
        <c:manualLayout>
          <c:layoutTarget val="inner"/>
          <c:xMode val="edge"/>
          <c:yMode val="edge"/>
          <c:x val="4.3358344912768264E-2"/>
          <c:y val="0.15238072383843443"/>
          <c:w val="0.93423251505326543"/>
          <c:h val="0.58095300944430528"/>
        </c:manualLayout>
      </c:layout>
      <c:barChart>
        <c:barDir val="bar"/>
        <c:grouping val="clustered"/>
        <c:varyColors val="0"/>
        <c:ser>
          <c:idx val="0"/>
          <c:order val="0"/>
          <c:tx>
            <c:strRef>
              <c:f>'Pivot Report'!$C$16:$C$17</c:f>
              <c:strCache>
                <c:ptCount val="1"/>
                <c:pt idx="0">
                  <c:v>Count of Patient Admission Flag_1</c:v>
                </c:pt>
              </c:strCache>
            </c:strRef>
          </c:tx>
          <c:spPr>
            <a:solidFill>
              <a:schemeClr val="accent1"/>
            </a:solidFill>
            <a:ln>
              <a:noFill/>
            </a:ln>
            <a:effectLst/>
          </c:spPr>
          <c:invertIfNegative val="0"/>
          <c:cat>
            <c:strRef>
              <c:f>'Pivot Report'!$C$16:$C$17</c:f>
              <c:strCache>
                <c:ptCount val="2"/>
                <c:pt idx="0">
                  <c:v>Admitted</c:v>
                </c:pt>
                <c:pt idx="1">
                  <c:v>Not Admitted</c:v>
                </c:pt>
              </c:strCache>
            </c:strRef>
          </c:cat>
          <c:val>
            <c:numRef>
              <c:f>'Pivot Report'!$C$16:$C$17</c:f>
              <c:numCache>
                <c:formatCode>0</c:formatCode>
                <c:ptCount val="2"/>
                <c:pt idx="0">
                  <c:v>269</c:v>
                </c:pt>
                <c:pt idx="1">
                  <c:v>244</c:v>
                </c:pt>
              </c:numCache>
            </c:numRef>
          </c:val>
          <c:extLst>
            <c:ext xmlns:c16="http://schemas.microsoft.com/office/drawing/2014/chart" uri="{C3380CC4-5D6E-409C-BE32-E72D297353CC}">
              <c16:uniqueId val="{00000009-87FA-4635-BB1A-778E9E00D140}"/>
            </c:ext>
          </c:extLst>
        </c:ser>
        <c:ser>
          <c:idx val="1"/>
          <c:order val="1"/>
          <c:tx>
            <c:strRef>
              <c:f>'Pivot Report'!$C$16:$C$17</c:f>
              <c:strCache>
                <c:ptCount val="1"/>
                <c:pt idx="0">
                  <c:v>Count of Patient Admission Flag_1_2</c:v>
                </c:pt>
              </c:strCache>
            </c:strRef>
          </c:tx>
          <c:spPr>
            <a:solidFill>
              <a:schemeClr val="accent2"/>
            </a:solidFill>
            <a:ln>
              <a:noFill/>
            </a:ln>
            <a:effectLst/>
          </c:spPr>
          <c:invertIfNegative val="0"/>
          <c:cat>
            <c:strRef>
              <c:f>'Pivot Report'!$C$16:$C$17</c:f>
              <c:strCache>
                <c:ptCount val="2"/>
                <c:pt idx="0">
                  <c:v>Admitted</c:v>
                </c:pt>
                <c:pt idx="1">
                  <c:v>Not Admitted</c:v>
                </c:pt>
              </c:strCache>
            </c:strRef>
          </c:cat>
          <c:val>
            <c:numRef>
              <c:f>'Pivot Report'!$C$16:$C$17</c:f>
              <c:numCache>
                <c:formatCode>0.00%</c:formatCode>
                <c:ptCount val="2"/>
                <c:pt idx="0">
                  <c:v>0.52436647173489281</c:v>
                </c:pt>
                <c:pt idx="1">
                  <c:v>0.47563352826510719</c:v>
                </c:pt>
              </c:numCache>
            </c:numRef>
          </c:val>
          <c:extLst>
            <c:ext xmlns:c16="http://schemas.microsoft.com/office/drawing/2014/chart" uri="{C3380CC4-5D6E-409C-BE32-E72D297353CC}">
              <c16:uniqueId val="{0000000A-87FA-4635-BB1A-778E9E00D140}"/>
            </c:ext>
          </c:extLst>
        </c:ser>
        <c:dLbls>
          <c:showLegendKey val="0"/>
          <c:showVal val="0"/>
          <c:showCatName val="0"/>
          <c:showSerName val="0"/>
          <c:showPercent val="0"/>
          <c:showBubbleSize val="0"/>
        </c:dLbls>
        <c:gapWidth val="4"/>
        <c:axId val="1092482111"/>
        <c:axId val="1092481631"/>
      </c:barChart>
      <c:catAx>
        <c:axId val="1092482111"/>
        <c:scaling>
          <c:orientation val="minMax"/>
        </c:scaling>
        <c:delete val="1"/>
        <c:axPos val="l"/>
        <c:numFmt formatCode="General" sourceLinked="1"/>
        <c:majorTickMark val="none"/>
        <c:minorTickMark val="none"/>
        <c:tickLblPos val="nextTo"/>
        <c:crossAx val="1092481631"/>
        <c:crosses val="autoZero"/>
        <c:auto val="1"/>
        <c:lblAlgn val="ctr"/>
        <c:lblOffset val="100"/>
        <c:noMultiLvlLbl val="0"/>
      </c:catAx>
      <c:valAx>
        <c:axId val="1092481631"/>
        <c:scaling>
          <c:orientation val="minMax"/>
        </c:scaling>
        <c:delete val="1"/>
        <c:axPos val="b"/>
        <c:numFmt formatCode="0" sourceLinked="1"/>
        <c:majorTickMark val="none"/>
        <c:minorTickMark val="none"/>
        <c:tickLblPos val="nextTo"/>
        <c:crossAx val="10924821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Report!PivotTable7</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Report'!$L$5:$L$36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1CDC-466E-B0B2-9E9C2012927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54859375"/>
        <c:axId val="454851215"/>
      </c:areaChart>
      <c:catAx>
        <c:axId val="4548593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4851215"/>
        <c:crosses val="autoZero"/>
        <c:auto val="1"/>
        <c:lblAlgn val="ctr"/>
        <c:lblOffset val="100"/>
        <c:noMultiLvlLbl val="0"/>
      </c:catAx>
      <c:valAx>
        <c:axId val="454851215"/>
        <c:scaling>
          <c:orientation val="minMax"/>
        </c:scaling>
        <c:delete val="1"/>
        <c:axPos val="l"/>
        <c:numFmt formatCode="0.00" sourceLinked="1"/>
        <c:majorTickMark val="out"/>
        <c:minorTickMark val="none"/>
        <c:tickLblPos val="nextTo"/>
        <c:crossAx val="4548593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76937495823803E-2"/>
          <c:y val="0.13037872548491028"/>
          <c:w val="0.95331353372088523"/>
          <c:h val="0.78243579205095914"/>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C0BD-4A34-AC3A-E25E3B912803}"/>
            </c:ext>
          </c:extLst>
        </c:ser>
        <c:dLbls>
          <c:showLegendKey val="0"/>
          <c:showVal val="0"/>
          <c:showCatName val="0"/>
          <c:showSerName val="0"/>
          <c:showPercent val="0"/>
          <c:showBubbleSize val="0"/>
        </c:dLbls>
        <c:axId val="1926919680"/>
        <c:axId val="1926914400"/>
      </c:areaChart>
      <c:catAx>
        <c:axId val="1926919680"/>
        <c:scaling>
          <c:orientation val="minMax"/>
        </c:scaling>
        <c:delete val="1"/>
        <c:axPos val="b"/>
        <c:numFmt formatCode="General" sourceLinked="1"/>
        <c:majorTickMark val="out"/>
        <c:minorTickMark val="none"/>
        <c:tickLblPos val="nextTo"/>
        <c:crossAx val="1926914400"/>
        <c:crosses val="autoZero"/>
        <c:auto val="1"/>
        <c:lblAlgn val="ctr"/>
        <c:lblOffset val="100"/>
        <c:noMultiLvlLbl val="0"/>
      </c:catAx>
      <c:valAx>
        <c:axId val="1926914400"/>
        <c:scaling>
          <c:orientation val="minMax"/>
        </c:scaling>
        <c:delete val="1"/>
        <c:axPos val="l"/>
        <c:numFmt formatCode="General" sourceLinked="1"/>
        <c:majorTickMark val="none"/>
        <c:minorTickMark val="none"/>
        <c:tickLblPos val="nextTo"/>
        <c:crossAx val="19269196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solidFill>
              <a:schemeClr val="accent1"/>
            </a:solidFill>
            <a:ln w="25400">
              <a:noFill/>
            </a:ln>
            <a:effectLst/>
          </c:spPr>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17AE-4F6A-A4E7-0ECF2BDFFCC8}"/>
            </c:ext>
          </c:extLst>
        </c:ser>
        <c:dLbls>
          <c:showLegendKey val="0"/>
          <c:showVal val="0"/>
          <c:showCatName val="0"/>
          <c:showSerName val="0"/>
          <c:showPercent val="0"/>
          <c:showBubbleSize val="0"/>
        </c:dLbls>
        <c:axId val="1950798175"/>
        <c:axId val="1950805855"/>
      </c:areaChart>
      <c:catAx>
        <c:axId val="1950798175"/>
        <c:scaling>
          <c:orientation val="minMax"/>
        </c:scaling>
        <c:delete val="1"/>
        <c:axPos val="b"/>
        <c:numFmt formatCode="General" sourceLinked="1"/>
        <c:majorTickMark val="out"/>
        <c:minorTickMark val="none"/>
        <c:tickLblPos val="nextTo"/>
        <c:crossAx val="1950805855"/>
        <c:crosses val="autoZero"/>
        <c:auto val="1"/>
        <c:lblAlgn val="ctr"/>
        <c:lblOffset val="100"/>
        <c:noMultiLvlLbl val="0"/>
      </c:catAx>
      <c:valAx>
        <c:axId val="1950805855"/>
        <c:scaling>
          <c:orientation val="minMax"/>
        </c:scaling>
        <c:delete val="1"/>
        <c:axPos val="l"/>
        <c:numFmt formatCode="0.00" sourceLinked="1"/>
        <c:majorTickMark val="none"/>
        <c:minorTickMark val="none"/>
        <c:tickLblPos val="nextTo"/>
        <c:crossAx val="19507981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4064708653997173E-2"/>
          <c:w val="1"/>
          <c:h val="0.97890153996607643"/>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Report'!$L$5:$L$36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0622-4ACA-ACC3-4D67EB229FAC}"/>
            </c:ext>
          </c:extLst>
        </c:ser>
        <c:dLbls>
          <c:showLegendKey val="0"/>
          <c:showVal val="0"/>
          <c:showCatName val="0"/>
          <c:showSerName val="0"/>
          <c:showPercent val="0"/>
          <c:showBubbleSize val="0"/>
        </c:dLbls>
        <c:axId val="454859375"/>
        <c:axId val="454851215"/>
      </c:areaChart>
      <c:catAx>
        <c:axId val="454859375"/>
        <c:scaling>
          <c:orientation val="minMax"/>
        </c:scaling>
        <c:delete val="1"/>
        <c:axPos val="b"/>
        <c:numFmt formatCode="General" sourceLinked="1"/>
        <c:majorTickMark val="out"/>
        <c:minorTickMark val="none"/>
        <c:tickLblPos val="nextTo"/>
        <c:crossAx val="454851215"/>
        <c:crosses val="autoZero"/>
        <c:auto val="1"/>
        <c:lblAlgn val="ctr"/>
        <c:lblOffset val="100"/>
        <c:noMultiLvlLbl val="0"/>
      </c:catAx>
      <c:valAx>
        <c:axId val="454851215"/>
        <c:scaling>
          <c:orientation val="minMax"/>
        </c:scaling>
        <c:delete val="1"/>
        <c:axPos val="l"/>
        <c:numFmt formatCode="0.00" sourceLinked="1"/>
        <c:majorTickMark val="none"/>
        <c:minorTickMark val="none"/>
        <c:tickLblPos val="nextTo"/>
        <c:crossAx val="454859375"/>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Report!PivotTable9</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20956286536422E-2"/>
          <c:y val="8.0000071991065902E-2"/>
          <c:w val="0.94595808742692711"/>
          <c:h val="0.6522471561279245"/>
        </c:manualLayout>
      </c:layout>
      <c:barChart>
        <c:barDir val="col"/>
        <c:grouping val="clustered"/>
        <c:varyColors val="0"/>
        <c:ser>
          <c:idx val="0"/>
          <c:order val="0"/>
          <c:tx>
            <c:strRef>
              <c:f>'Pivot Report'!$B$46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Report'!$A$47:$A$55</c:f>
              <c:strCache>
                <c:ptCount val="8"/>
                <c:pt idx="0">
                  <c:v>0-9</c:v>
                </c:pt>
                <c:pt idx="1">
                  <c:v>10-19</c:v>
                </c:pt>
                <c:pt idx="2">
                  <c:v>20-29</c:v>
                </c:pt>
                <c:pt idx="3">
                  <c:v>30-39</c:v>
                </c:pt>
                <c:pt idx="4">
                  <c:v>40-49</c:v>
                </c:pt>
                <c:pt idx="5">
                  <c:v>50-59</c:v>
                </c:pt>
                <c:pt idx="6">
                  <c:v>60-69</c:v>
                </c:pt>
                <c:pt idx="7">
                  <c:v>70-79</c:v>
                </c:pt>
              </c:strCache>
            </c:strRef>
          </c:cat>
          <c:val>
            <c:numRef>
              <c:f>'Pivot Report'!$B$47:$B$55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6-C7B6-44D0-869E-A118B094A8F9}"/>
            </c:ext>
          </c:extLst>
        </c:ser>
        <c:dLbls>
          <c:showLegendKey val="0"/>
          <c:showVal val="0"/>
          <c:showCatName val="0"/>
          <c:showSerName val="0"/>
          <c:showPercent val="0"/>
          <c:showBubbleSize val="0"/>
        </c:dLbls>
        <c:gapWidth val="219"/>
        <c:overlap val="-27"/>
        <c:axId val="313050463"/>
        <c:axId val="313051903"/>
      </c:barChart>
      <c:catAx>
        <c:axId val="31305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3051903"/>
        <c:crosses val="autoZero"/>
        <c:auto val="1"/>
        <c:lblAlgn val="ctr"/>
        <c:lblOffset val="100"/>
        <c:noMultiLvlLbl val="0"/>
      </c:catAx>
      <c:valAx>
        <c:axId val="313051903"/>
        <c:scaling>
          <c:orientation val="minMax"/>
        </c:scaling>
        <c:delete val="1"/>
        <c:axPos val="l"/>
        <c:numFmt formatCode="0" sourceLinked="1"/>
        <c:majorTickMark val="none"/>
        <c:minorTickMark val="none"/>
        <c:tickLblPos val="nextTo"/>
        <c:crossAx val="31305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Report!PivotTable10</c:name>
    <c:fmtId val="7"/>
  </c:pivotSource>
  <c:chart>
    <c:autoTitleDeleted val="1"/>
    <c:pivotFmts>
      <c:pivotFmt>
        <c:idx val="0"/>
      </c:pivotFmt>
      <c:pivotFmt>
        <c:idx val="1"/>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1638357687962711"/>
          <c:y val="0.192457645465854"/>
          <c:w val="0.67997242777901257"/>
          <c:h val="0.74928996297533024"/>
        </c:manualLayout>
      </c:layout>
      <c:pieChart>
        <c:varyColors val="1"/>
        <c:ser>
          <c:idx val="0"/>
          <c:order val="0"/>
          <c:tx>
            <c:strRef>
              <c:f>'Pivot Report'!$B$58</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Report'!$A$59:$A$61</c:f>
              <c:strCache>
                <c:ptCount val="2"/>
                <c:pt idx="0">
                  <c:v>Delay</c:v>
                </c:pt>
                <c:pt idx="1">
                  <c:v>Ontime</c:v>
                </c:pt>
              </c:strCache>
            </c:strRef>
          </c:cat>
          <c:val>
            <c:numRef>
              <c:f>'Pivot Report'!$B$59:$B$61</c:f>
              <c:numCache>
                <c:formatCode>0</c:formatCode>
                <c:ptCount val="2"/>
                <c:pt idx="0">
                  <c:v>316</c:v>
                </c:pt>
                <c:pt idx="1">
                  <c:v>197</c:v>
                </c:pt>
              </c:numCache>
            </c:numRef>
          </c:val>
          <c:extLst>
            <c:ext xmlns:c16="http://schemas.microsoft.com/office/drawing/2014/chart" uri="{C3380CC4-5D6E-409C-BE32-E72D297353CC}">
              <c16:uniqueId val="{0000001A-86C7-4E13-A3AD-D296C2875CE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3333398325160606"/>
          <c:y val="6.9123814950786233E-2"/>
          <c:w val="0.72380898102063662"/>
          <c:h val="8.572782608881005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Report!PivotTable11</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overflow" horzOverflow="overflow" vert="horz" wrap="non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19050">
            <a:noFill/>
          </a:ln>
          <a:effectLst/>
        </c:spPr>
        <c:dLbl>
          <c:idx val="0"/>
          <c:spPr>
            <a:noFill/>
            <a:ln>
              <a:noFill/>
            </a:ln>
            <a:effectLst/>
          </c:spPr>
          <c:txPr>
            <a:bodyPr rot="0" spcFirstLastPara="1" vertOverflow="overflow" horzOverflow="overflow" vert="horz" wrap="non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19050">
            <a:noFill/>
          </a:ln>
          <a:effectLst/>
        </c:spPr>
        <c:dLbl>
          <c:idx val="0"/>
          <c:spPr>
            <a:noFill/>
            <a:ln>
              <a:noFill/>
            </a:ln>
            <a:effectLst/>
          </c:spPr>
          <c:txPr>
            <a:bodyPr rot="0" spcFirstLastPara="1" vertOverflow="overflow" horzOverflow="overflow" vert="horz" wrap="non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6564276398044769"/>
          <c:y val="0.21161959421089582"/>
          <c:w val="0.65308174742308922"/>
          <c:h val="0.73145219888258228"/>
        </c:manualLayout>
      </c:layout>
      <c:doughnutChart>
        <c:varyColors val="1"/>
        <c:ser>
          <c:idx val="0"/>
          <c:order val="0"/>
          <c:tx>
            <c:strRef>
              <c:f>'Pivot Report'!$B$64</c:f>
              <c:strCache>
                <c:ptCount val="1"/>
                <c:pt idx="0">
                  <c:v>Total</c:v>
                </c:pt>
              </c:strCache>
            </c:strRef>
          </c:tx>
          <c:spPr>
            <a:ln>
              <a:noFill/>
            </a:ln>
            <a:effectLst/>
          </c:spPr>
          <c:dPt>
            <c:idx val="0"/>
            <c:bubble3D val="0"/>
            <c:spPr>
              <a:solidFill>
                <a:schemeClr val="accent1"/>
              </a:solidFill>
              <a:ln w="19050">
                <a:noFill/>
              </a:ln>
              <a:effectLst/>
            </c:spPr>
          </c:dPt>
          <c:dPt>
            <c:idx val="1"/>
            <c:bubble3D val="0"/>
            <c:spPr>
              <a:solidFill>
                <a:schemeClr val="accent2"/>
              </a:solidFill>
              <a:ln w="19050">
                <a:noFill/>
              </a:ln>
              <a:effectLst/>
            </c:spPr>
          </c:dPt>
          <c:dLbls>
            <c:spPr>
              <a:noFill/>
              <a:ln>
                <a:noFill/>
              </a:ln>
              <a:effectLst/>
            </c:spPr>
            <c:txPr>
              <a:bodyPr rot="0" spcFirstLastPara="1" vertOverflow="overflow" horzOverflow="overflow" vert="horz" wrap="non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Report'!$A$65:$A$67</c:f>
              <c:strCache>
                <c:ptCount val="2"/>
                <c:pt idx="0">
                  <c:v>Female</c:v>
                </c:pt>
                <c:pt idx="1">
                  <c:v>Male</c:v>
                </c:pt>
              </c:strCache>
            </c:strRef>
          </c:cat>
          <c:val>
            <c:numRef>
              <c:f>'Pivot Report'!$B$65:$B$67</c:f>
              <c:numCache>
                <c:formatCode>0%</c:formatCode>
                <c:ptCount val="2"/>
                <c:pt idx="0">
                  <c:v>0.46978557504873292</c:v>
                </c:pt>
                <c:pt idx="1">
                  <c:v>0.53021442495126703</c:v>
                </c:pt>
              </c:numCache>
            </c:numRef>
          </c:val>
          <c:extLst>
            <c:ext xmlns:c16="http://schemas.microsoft.com/office/drawing/2014/chart" uri="{C3380CC4-5D6E-409C-BE32-E72D297353CC}">
              <c16:uniqueId val="{00000008-FF70-4FE5-ACCA-97D0B65BBE2F}"/>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r"/>
      <c:layout>
        <c:manualLayout>
          <c:xMode val="edge"/>
          <c:yMode val="edge"/>
          <c:x val="4.9210931644654579E-2"/>
          <c:y val="6.0343264016577802E-2"/>
          <c:w val="0.84983733655864224"/>
          <c:h val="0.1090564521077837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Report!PivotTable12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61906788678444"/>
          <c:y val="8.8250035235547239E-2"/>
          <c:w val="0.68669674398808256"/>
          <c:h val="0.76899069591943925"/>
        </c:manualLayout>
      </c:layout>
      <c:barChart>
        <c:barDir val="bar"/>
        <c:grouping val="clustered"/>
        <c:varyColors val="0"/>
        <c:ser>
          <c:idx val="0"/>
          <c:order val="0"/>
          <c:tx>
            <c:strRef>
              <c:f>'Pivot Report'!$B$71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Report'!$A$72:$A$80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Report'!$B$72:$B$80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935F-44C6-BA77-C060DF40BC44}"/>
            </c:ext>
          </c:extLst>
        </c:ser>
        <c:dLbls>
          <c:showLegendKey val="0"/>
          <c:showVal val="0"/>
          <c:showCatName val="0"/>
          <c:showSerName val="0"/>
          <c:showPercent val="0"/>
          <c:showBubbleSize val="0"/>
        </c:dLbls>
        <c:gapWidth val="52"/>
        <c:axId val="1092503711"/>
        <c:axId val="1092511871"/>
      </c:barChart>
      <c:catAx>
        <c:axId val="1092503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092511871"/>
        <c:crosses val="autoZero"/>
        <c:auto val="1"/>
        <c:lblAlgn val="ctr"/>
        <c:lblOffset val="100"/>
        <c:noMultiLvlLbl val="0"/>
      </c:catAx>
      <c:valAx>
        <c:axId val="1092511871"/>
        <c:scaling>
          <c:orientation val="minMax"/>
        </c:scaling>
        <c:delete val="1"/>
        <c:axPos val="b"/>
        <c:numFmt formatCode="0" sourceLinked="1"/>
        <c:majorTickMark val="none"/>
        <c:minorTickMark val="none"/>
        <c:tickLblPos val="nextTo"/>
        <c:crossAx val="1092503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Report!PivotTable3</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Report'!$H$5:$H$36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D3FB-422E-AC25-C52F54D24A6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50798175"/>
        <c:axId val="1950805855"/>
      </c:areaChart>
      <c:catAx>
        <c:axId val="195079817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50805855"/>
        <c:crosses val="autoZero"/>
        <c:auto val="1"/>
        <c:lblAlgn val="ctr"/>
        <c:lblOffset val="100"/>
        <c:noMultiLvlLbl val="0"/>
      </c:catAx>
      <c:valAx>
        <c:axId val="1950805855"/>
        <c:scaling>
          <c:orientation val="minMax"/>
        </c:scaling>
        <c:delete val="1"/>
        <c:axPos val="l"/>
        <c:numFmt formatCode="0.00" sourceLinked="1"/>
        <c:majorTickMark val="out"/>
        <c:minorTickMark val="none"/>
        <c:tickLblPos val="nextTo"/>
        <c:crossAx val="19507981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Report!PivotTable2</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95934649138021"/>
          <c:y val="0.13037875232483356"/>
          <c:w val="0.84281845826540402"/>
          <c:h val="0.62370756635553004"/>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Report'!$E$5:$E$36</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75F1-4913-AF13-9B21B204183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26919680"/>
        <c:axId val="1926914400"/>
      </c:areaChart>
      <c:catAx>
        <c:axId val="19269196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6914400"/>
        <c:crosses val="autoZero"/>
        <c:auto val="1"/>
        <c:lblAlgn val="ctr"/>
        <c:lblOffset val="100"/>
        <c:noMultiLvlLbl val="0"/>
      </c:catAx>
      <c:valAx>
        <c:axId val="1926914400"/>
        <c:scaling>
          <c:orientation val="minMax"/>
        </c:scaling>
        <c:delete val="1"/>
        <c:axPos val="l"/>
        <c:numFmt formatCode="General" sourceLinked="1"/>
        <c:majorTickMark val="out"/>
        <c:minorTickMark val="none"/>
        <c:tickLblPos val="nextTo"/>
        <c:crossAx val="19269196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hyperlink" Target="#'Daily ER Visits'!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 Score Daily trend'!A1"/><Relationship Id="rId17" Type="http://schemas.openxmlformats.org/officeDocument/2006/relationships/chart" Target="../charts/chart8.xml"/><Relationship Id="rId2" Type="http://schemas.openxmlformats.org/officeDocument/2006/relationships/image" Target="../media/image4.png"/><Relationship Id="rId16" Type="http://schemas.openxmlformats.org/officeDocument/2006/relationships/chart" Target="../charts/chart7.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4.xml"/><Relationship Id="rId5" Type="http://schemas.openxmlformats.org/officeDocument/2006/relationships/image" Target="../media/image7.svg"/><Relationship Id="rId15" Type="http://schemas.openxmlformats.org/officeDocument/2006/relationships/chart" Target="../charts/chart6.xml"/><Relationship Id="rId10" Type="http://schemas.openxmlformats.org/officeDocument/2006/relationships/hyperlink" Target="#'Avg Wait time'!A1"/><Relationship Id="rId4" Type="http://schemas.openxmlformats.org/officeDocument/2006/relationships/image" Target="../media/image6.png"/><Relationship Id="rId9" Type="http://schemas.openxmlformats.org/officeDocument/2006/relationships/chart" Target="../charts/chart3.xml"/><Relationship Id="rId14" Type="http://schemas.openxmlformats.org/officeDocument/2006/relationships/image" Target="../media/image10.emf"/></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3</xdr:col>
      <xdr:colOff>102055</xdr:colOff>
      <xdr:row>38</xdr:row>
      <xdr:rowOff>144237</xdr:rowOff>
    </xdr:from>
    <xdr:to>
      <xdr:col>3</xdr:col>
      <xdr:colOff>1292679</xdr:colOff>
      <xdr:row>41</xdr:row>
      <xdr:rowOff>40821</xdr:rowOff>
    </xdr:to>
    <xdr:graphicFrame macro="">
      <xdr:nvGraphicFramePr>
        <xdr:cNvPr id="3" name="Chart 2">
          <a:extLst>
            <a:ext uri="{FF2B5EF4-FFF2-40B4-BE49-F238E27FC236}">
              <a16:creationId xmlns:a16="http://schemas.microsoft.com/office/drawing/2014/main" id="{D8950FD1-0931-3153-D8A5-B32CE31F3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66674</xdr:colOff>
      <xdr:row>23</xdr:row>
      <xdr:rowOff>19050</xdr:rowOff>
    </xdr:to>
    <xdr:graphicFrame macro="">
      <xdr:nvGraphicFramePr>
        <xdr:cNvPr id="2" name="Chart 1">
          <a:extLst>
            <a:ext uri="{FF2B5EF4-FFF2-40B4-BE49-F238E27FC236}">
              <a16:creationId xmlns:a16="http://schemas.microsoft.com/office/drawing/2014/main" id="{3B519BE5-74D4-490C-9D3F-701A34AA6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0.00552</cdr:x>
      <cdr:y>0.01154</cdr:y>
    </cdr:from>
    <cdr:to>
      <cdr:x>0.05205</cdr:x>
      <cdr:y>0.10895</cdr:y>
    </cdr:to>
    <cdr:pic>
      <cdr:nvPicPr>
        <cdr:cNvPr id="4" name="Graphic 3" descr="Home with solid fill">
          <a:extLst xmlns:a="http://schemas.openxmlformats.org/drawingml/2006/main">
            <a:ext uri="{FF2B5EF4-FFF2-40B4-BE49-F238E27FC236}">
              <a16:creationId xmlns:a16="http://schemas.microsoft.com/office/drawing/2014/main" id="{2E3F338F-D75F-DAC4-F3B7-401E40DF312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50800" y="50800"/>
          <a:ext cx="428625" cy="428625"/>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absolute">
    <xdr:from>
      <xdr:col>0</xdr:col>
      <xdr:colOff>79509</xdr:colOff>
      <xdr:row>0</xdr:row>
      <xdr:rowOff>49893</xdr:rowOff>
    </xdr:from>
    <xdr:to>
      <xdr:col>5</xdr:col>
      <xdr:colOff>220115</xdr:colOff>
      <xdr:row>2</xdr:row>
      <xdr:rowOff>140607</xdr:rowOff>
    </xdr:to>
    <xdr:sp macro="" textlink="">
      <xdr:nvSpPr>
        <xdr:cNvPr id="2" name="Rectangle: Rounded Corners 1">
          <a:extLst>
            <a:ext uri="{FF2B5EF4-FFF2-40B4-BE49-F238E27FC236}">
              <a16:creationId xmlns:a16="http://schemas.microsoft.com/office/drawing/2014/main" id="{DEED57ED-9A19-6CD7-FD1A-41E16C7B6527}"/>
            </a:ext>
          </a:extLst>
        </xdr:cNvPr>
        <xdr:cNvSpPr/>
      </xdr:nvSpPr>
      <xdr:spPr>
        <a:xfrm>
          <a:off x="79509" y="49893"/>
          <a:ext cx="3194209" cy="47171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290288</xdr:colOff>
      <xdr:row>0</xdr:row>
      <xdr:rowOff>54428</xdr:rowOff>
    </xdr:from>
    <xdr:to>
      <xdr:col>6</xdr:col>
      <xdr:colOff>616858</xdr:colOff>
      <xdr:row>2</xdr:row>
      <xdr:rowOff>145142</xdr:rowOff>
    </xdr:to>
    <xdr:sp macro="" textlink="">
      <xdr:nvSpPr>
        <xdr:cNvPr id="3" name="Rectangle: Rounded Corners 2">
          <a:extLst>
            <a:ext uri="{FF2B5EF4-FFF2-40B4-BE49-F238E27FC236}">
              <a16:creationId xmlns:a16="http://schemas.microsoft.com/office/drawing/2014/main" id="{73EE0491-AD0C-950D-C057-67ECF7749E54}"/>
            </a:ext>
          </a:extLst>
        </xdr:cNvPr>
        <xdr:cNvSpPr/>
      </xdr:nvSpPr>
      <xdr:spPr>
        <a:xfrm>
          <a:off x="3329217" y="54428"/>
          <a:ext cx="934355" cy="47171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77108</xdr:colOff>
      <xdr:row>0</xdr:row>
      <xdr:rowOff>77107</xdr:rowOff>
    </xdr:from>
    <xdr:to>
      <xdr:col>9</xdr:col>
      <xdr:colOff>22679</xdr:colOff>
      <xdr:row>5</xdr:row>
      <xdr:rowOff>172357</xdr:rowOff>
    </xdr:to>
    <xdr:sp macro="" textlink="">
      <xdr:nvSpPr>
        <xdr:cNvPr id="4" name="Rectangle: Rounded Corners 3">
          <a:extLst>
            <a:ext uri="{FF2B5EF4-FFF2-40B4-BE49-F238E27FC236}">
              <a16:creationId xmlns:a16="http://schemas.microsoft.com/office/drawing/2014/main" id="{16C4F540-A211-3CB1-E59A-2E0CDE31B9C2}"/>
            </a:ext>
          </a:extLst>
        </xdr:cNvPr>
        <xdr:cNvSpPr/>
      </xdr:nvSpPr>
      <xdr:spPr>
        <a:xfrm>
          <a:off x="4354287" y="77107"/>
          <a:ext cx="1161142" cy="1047750"/>
        </a:xfrm>
        <a:prstGeom prst="roundRect">
          <a:avLst>
            <a:gd name="adj" fmla="val 627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77110</xdr:colOff>
      <xdr:row>0</xdr:row>
      <xdr:rowOff>81643</xdr:rowOff>
    </xdr:from>
    <xdr:to>
      <xdr:col>11</xdr:col>
      <xdr:colOff>22681</xdr:colOff>
      <xdr:row>5</xdr:row>
      <xdr:rowOff>176893</xdr:rowOff>
    </xdr:to>
    <xdr:sp macro="" textlink="">
      <xdr:nvSpPr>
        <xdr:cNvPr id="5" name="Rectangle: Rounded Corners 4">
          <a:extLst>
            <a:ext uri="{FF2B5EF4-FFF2-40B4-BE49-F238E27FC236}">
              <a16:creationId xmlns:a16="http://schemas.microsoft.com/office/drawing/2014/main" id="{A66EDAF6-5AB6-F1A7-95E3-E2ECEAB31980}"/>
            </a:ext>
          </a:extLst>
        </xdr:cNvPr>
        <xdr:cNvSpPr/>
      </xdr:nvSpPr>
      <xdr:spPr>
        <a:xfrm>
          <a:off x="5569860" y="81643"/>
          <a:ext cx="1161142" cy="1047750"/>
        </a:xfrm>
        <a:prstGeom prst="roundRect">
          <a:avLst>
            <a:gd name="adj" fmla="val 454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95251</xdr:colOff>
      <xdr:row>3</xdr:row>
      <xdr:rowOff>40821</xdr:rowOff>
    </xdr:from>
    <xdr:to>
      <xdr:col>1</xdr:col>
      <xdr:colOff>276678</xdr:colOff>
      <xdr:row>15</xdr:row>
      <xdr:rowOff>104321</xdr:rowOff>
    </xdr:to>
    <xdr:sp macro="" textlink="">
      <xdr:nvSpPr>
        <xdr:cNvPr id="6" name="Rectangle: Rounded Corners 5">
          <a:extLst>
            <a:ext uri="{FF2B5EF4-FFF2-40B4-BE49-F238E27FC236}">
              <a16:creationId xmlns:a16="http://schemas.microsoft.com/office/drawing/2014/main" id="{7176062A-45C9-96CA-E575-70D7192E5576}"/>
            </a:ext>
          </a:extLst>
        </xdr:cNvPr>
        <xdr:cNvSpPr/>
      </xdr:nvSpPr>
      <xdr:spPr>
        <a:xfrm>
          <a:off x="95251" y="612321"/>
          <a:ext cx="789213" cy="23495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349250</xdr:colOff>
      <xdr:row>3</xdr:row>
      <xdr:rowOff>40821</xdr:rowOff>
    </xdr:from>
    <xdr:to>
      <xdr:col>3</xdr:col>
      <xdr:colOff>222653</xdr:colOff>
      <xdr:row>6</xdr:row>
      <xdr:rowOff>108857</xdr:rowOff>
    </xdr:to>
    <xdr:sp macro="" textlink="">
      <xdr:nvSpPr>
        <xdr:cNvPr id="7" name="Rectangle: Rounded Corners 6">
          <a:extLst>
            <a:ext uri="{FF2B5EF4-FFF2-40B4-BE49-F238E27FC236}">
              <a16:creationId xmlns:a16="http://schemas.microsoft.com/office/drawing/2014/main" id="{9E09DA70-ECA9-08B5-C0AE-F5F046191040}"/>
            </a:ext>
          </a:extLst>
        </xdr:cNvPr>
        <xdr:cNvSpPr/>
      </xdr:nvSpPr>
      <xdr:spPr>
        <a:xfrm>
          <a:off x="957036" y="612321"/>
          <a:ext cx="1088974" cy="639536"/>
        </a:xfrm>
        <a:prstGeom prst="roundRect">
          <a:avLst>
            <a:gd name="adj" fmla="val 73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267406</xdr:colOff>
      <xdr:row>3</xdr:row>
      <xdr:rowOff>40821</xdr:rowOff>
    </xdr:from>
    <xdr:to>
      <xdr:col>5</xdr:col>
      <xdr:colOff>140808</xdr:colOff>
      <xdr:row>6</xdr:row>
      <xdr:rowOff>108857</xdr:rowOff>
    </xdr:to>
    <xdr:sp macro="" textlink="">
      <xdr:nvSpPr>
        <xdr:cNvPr id="12" name="Rectangle: Rounded Corners 11">
          <a:extLst>
            <a:ext uri="{FF2B5EF4-FFF2-40B4-BE49-F238E27FC236}">
              <a16:creationId xmlns:a16="http://schemas.microsoft.com/office/drawing/2014/main" id="{D8371D9B-DEB6-B7CB-2D02-D824261BDC3B}"/>
            </a:ext>
          </a:extLst>
        </xdr:cNvPr>
        <xdr:cNvSpPr/>
      </xdr:nvSpPr>
      <xdr:spPr>
        <a:xfrm>
          <a:off x="2090763" y="612321"/>
          <a:ext cx="1088974" cy="639536"/>
        </a:xfrm>
        <a:prstGeom prst="roundRect">
          <a:avLst>
            <a:gd name="adj" fmla="val 73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185560</xdr:colOff>
      <xdr:row>3</xdr:row>
      <xdr:rowOff>40821</xdr:rowOff>
    </xdr:from>
    <xdr:to>
      <xdr:col>6</xdr:col>
      <xdr:colOff>598715</xdr:colOff>
      <xdr:row>6</xdr:row>
      <xdr:rowOff>108857</xdr:rowOff>
    </xdr:to>
    <xdr:sp macro="" textlink="">
      <xdr:nvSpPr>
        <xdr:cNvPr id="13" name="Rectangle: Rounded Corners 12">
          <a:extLst>
            <a:ext uri="{FF2B5EF4-FFF2-40B4-BE49-F238E27FC236}">
              <a16:creationId xmlns:a16="http://schemas.microsoft.com/office/drawing/2014/main" id="{7626E188-9B18-9836-6035-A341244C6C7C}"/>
            </a:ext>
          </a:extLst>
        </xdr:cNvPr>
        <xdr:cNvSpPr/>
      </xdr:nvSpPr>
      <xdr:spPr>
        <a:xfrm>
          <a:off x="3224489" y="612321"/>
          <a:ext cx="1020940" cy="639536"/>
        </a:xfrm>
        <a:prstGeom prst="roundRect">
          <a:avLst>
            <a:gd name="adj" fmla="val 73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371795</xdr:colOff>
      <xdr:row>9</xdr:row>
      <xdr:rowOff>172668</xdr:rowOff>
    </xdr:from>
    <xdr:to>
      <xdr:col>7</xdr:col>
      <xdr:colOff>20945</xdr:colOff>
      <xdr:row>15</xdr:row>
      <xdr:rowOff>118240</xdr:rowOff>
    </xdr:to>
    <xdr:sp macro="" textlink="">
      <xdr:nvSpPr>
        <xdr:cNvPr id="18" name="Rectangle: Rounded Corners 17">
          <a:extLst>
            <a:ext uri="{FF2B5EF4-FFF2-40B4-BE49-F238E27FC236}">
              <a16:creationId xmlns:a16="http://schemas.microsoft.com/office/drawing/2014/main" id="{E0FC410C-32E7-057A-9B31-63AA451C85A2}"/>
            </a:ext>
          </a:extLst>
        </xdr:cNvPr>
        <xdr:cNvSpPr/>
      </xdr:nvSpPr>
      <xdr:spPr>
        <a:xfrm>
          <a:off x="980337" y="1887168"/>
          <a:ext cx="3321566" cy="1088572"/>
        </a:xfrm>
        <a:prstGeom prst="roundRect">
          <a:avLst>
            <a:gd name="adj" fmla="val 442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344714</xdr:colOff>
      <xdr:row>6</xdr:row>
      <xdr:rowOff>163286</xdr:rowOff>
    </xdr:from>
    <xdr:to>
      <xdr:col>6</xdr:col>
      <xdr:colOff>616857</xdr:colOff>
      <xdr:row>9</xdr:row>
      <xdr:rowOff>86179</xdr:rowOff>
    </xdr:to>
    <xdr:sp macro="" textlink="">
      <xdr:nvSpPr>
        <xdr:cNvPr id="19" name="Rectangle: Rounded Corners 18">
          <a:extLst>
            <a:ext uri="{FF2B5EF4-FFF2-40B4-BE49-F238E27FC236}">
              <a16:creationId xmlns:a16="http://schemas.microsoft.com/office/drawing/2014/main" id="{27265520-80CF-C83E-97F0-91F7DE6BACAC}"/>
            </a:ext>
          </a:extLst>
        </xdr:cNvPr>
        <xdr:cNvSpPr/>
      </xdr:nvSpPr>
      <xdr:spPr>
        <a:xfrm>
          <a:off x="952500" y="1306286"/>
          <a:ext cx="3311071" cy="494393"/>
        </a:xfrm>
        <a:prstGeom prst="roundRect">
          <a:avLst>
            <a:gd name="adj" fmla="val 734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81642</xdr:colOff>
      <xdr:row>6</xdr:row>
      <xdr:rowOff>40820</xdr:rowOff>
    </xdr:from>
    <xdr:to>
      <xdr:col>11</xdr:col>
      <xdr:colOff>27217</xdr:colOff>
      <xdr:row>15</xdr:row>
      <xdr:rowOff>126999</xdr:rowOff>
    </xdr:to>
    <xdr:sp macro="" textlink="">
      <xdr:nvSpPr>
        <xdr:cNvPr id="26" name="Rectangle: Rounded Corners 25">
          <a:extLst>
            <a:ext uri="{FF2B5EF4-FFF2-40B4-BE49-F238E27FC236}">
              <a16:creationId xmlns:a16="http://schemas.microsoft.com/office/drawing/2014/main" id="{2F1599B3-F2D2-FE33-E865-42FE032F25A3}"/>
            </a:ext>
          </a:extLst>
        </xdr:cNvPr>
        <xdr:cNvSpPr/>
      </xdr:nvSpPr>
      <xdr:spPr>
        <a:xfrm>
          <a:off x="4358821" y="1183820"/>
          <a:ext cx="2376717" cy="1800679"/>
        </a:xfrm>
        <a:prstGeom prst="roundRect">
          <a:avLst>
            <a:gd name="adj" fmla="val 361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509866</xdr:colOff>
      <xdr:row>0</xdr:row>
      <xdr:rowOff>166754</xdr:rowOff>
    </xdr:from>
    <xdr:to>
      <xdr:col>5</xdr:col>
      <xdr:colOff>46956</xdr:colOff>
      <xdr:row>1</xdr:row>
      <xdr:rowOff>153147</xdr:rowOff>
    </xdr:to>
    <xdr:sp macro="" textlink="">
      <xdr:nvSpPr>
        <xdr:cNvPr id="32" name="TextBox 31">
          <a:extLst>
            <a:ext uri="{FF2B5EF4-FFF2-40B4-BE49-F238E27FC236}">
              <a16:creationId xmlns:a16="http://schemas.microsoft.com/office/drawing/2014/main" id="{3F471787-38B7-67FF-25BE-67D907310506}"/>
            </a:ext>
          </a:extLst>
        </xdr:cNvPr>
        <xdr:cNvSpPr txBox="1"/>
      </xdr:nvSpPr>
      <xdr:spPr>
        <a:xfrm>
          <a:off x="509866" y="166754"/>
          <a:ext cx="2590693" cy="176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a:t>Hospital</a:t>
          </a:r>
          <a:r>
            <a:rPr lang="en-US" sz="1200" baseline="0"/>
            <a:t> Emergency Room Dashboard</a:t>
          </a:r>
          <a:endParaRPr lang="en-US" sz="1200"/>
        </a:p>
      </xdr:txBody>
    </xdr:sp>
    <xdr:clientData/>
  </xdr:twoCellAnchor>
  <xdr:twoCellAnchor editAs="oneCell">
    <xdr:from>
      <xdr:col>0</xdr:col>
      <xdr:colOff>0</xdr:colOff>
      <xdr:row>0</xdr:row>
      <xdr:rowOff>106456</xdr:rowOff>
    </xdr:from>
    <xdr:to>
      <xdr:col>1</xdr:col>
      <xdr:colOff>38208</xdr:colOff>
      <xdr:row>2</xdr:row>
      <xdr:rowOff>84044</xdr:rowOff>
    </xdr:to>
    <xdr:pic>
      <xdr:nvPicPr>
        <xdr:cNvPr id="34" name="Picture 33">
          <a:extLst>
            <a:ext uri="{FF2B5EF4-FFF2-40B4-BE49-F238E27FC236}">
              <a16:creationId xmlns:a16="http://schemas.microsoft.com/office/drawing/2014/main" id="{12D898E8-5F2E-2643-6600-F3D366E0D3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6456"/>
          <a:ext cx="648929" cy="358588"/>
        </a:xfrm>
        <a:prstGeom prst="rect">
          <a:avLst/>
        </a:prstGeom>
      </xdr:spPr>
    </xdr:pic>
    <xdr:clientData/>
  </xdr:twoCellAnchor>
  <xdr:twoCellAnchor>
    <xdr:from>
      <xdr:col>2</xdr:col>
      <xdr:colOff>128868</xdr:colOff>
      <xdr:row>1</xdr:row>
      <xdr:rowOff>151279</xdr:rowOff>
    </xdr:from>
    <xdr:to>
      <xdr:col>3</xdr:col>
      <xdr:colOff>313764</xdr:colOff>
      <xdr:row>2</xdr:row>
      <xdr:rowOff>67235</xdr:rowOff>
    </xdr:to>
    <xdr:sp macro="" textlink="">
      <xdr:nvSpPr>
        <xdr:cNvPr id="35" name="TextBox 34">
          <a:extLst>
            <a:ext uri="{FF2B5EF4-FFF2-40B4-BE49-F238E27FC236}">
              <a16:creationId xmlns:a16="http://schemas.microsoft.com/office/drawing/2014/main" id="{09C3A156-EFD5-C49E-D9D2-3C39164B1580}"/>
            </a:ext>
          </a:extLst>
        </xdr:cNvPr>
        <xdr:cNvSpPr txBox="1"/>
      </xdr:nvSpPr>
      <xdr:spPr>
        <a:xfrm>
          <a:off x="1350309" y="341779"/>
          <a:ext cx="795617" cy="106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700"/>
            <a:t>Monthly Report</a:t>
          </a:r>
        </a:p>
      </xdr:txBody>
    </xdr:sp>
    <xdr:clientData/>
  </xdr:twoCellAnchor>
  <xdr:twoCellAnchor>
    <xdr:from>
      <xdr:col>1</xdr:col>
      <xdr:colOff>510988</xdr:colOff>
      <xdr:row>5</xdr:row>
      <xdr:rowOff>34738</xdr:rowOff>
    </xdr:from>
    <xdr:to>
      <xdr:col>3</xdr:col>
      <xdr:colOff>85164</xdr:colOff>
      <xdr:row>5</xdr:row>
      <xdr:rowOff>141194</xdr:rowOff>
    </xdr:to>
    <xdr:sp macro="" textlink="">
      <xdr:nvSpPr>
        <xdr:cNvPr id="36" name="TextBox 35">
          <a:extLst>
            <a:ext uri="{FF2B5EF4-FFF2-40B4-BE49-F238E27FC236}">
              <a16:creationId xmlns:a16="http://schemas.microsoft.com/office/drawing/2014/main" id="{44AB170E-29A9-7C78-BF49-E3D958E2341A}"/>
            </a:ext>
          </a:extLst>
        </xdr:cNvPr>
        <xdr:cNvSpPr txBox="1"/>
      </xdr:nvSpPr>
      <xdr:spPr>
        <a:xfrm>
          <a:off x="1121709" y="987238"/>
          <a:ext cx="795617" cy="106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600"/>
            <a:t>No.of Patient</a:t>
          </a:r>
        </a:p>
      </xdr:txBody>
    </xdr:sp>
    <xdr:clientData/>
  </xdr:twoCellAnchor>
  <xdr:twoCellAnchor>
    <xdr:from>
      <xdr:col>1</xdr:col>
      <xdr:colOff>510988</xdr:colOff>
      <xdr:row>4</xdr:row>
      <xdr:rowOff>34738</xdr:rowOff>
    </xdr:from>
    <xdr:to>
      <xdr:col>3</xdr:col>
      <xdr:colOff>85164</xdr:colOff>
      <xdr:row>4</xdr:row>
      <xdr:rowOff>179294</xdr:rowOff>
    </xdr:to>
    <xdr:sp macro="" textlink="'Pivot Report'!A5">
      <xdr:nvSpPr>
        <xdr:cNvPr id="37" name="TextBox 36">
          <a:extLst>
            <a:ext uri="{FF2B5EF4-FFF2-40B4-BE49-F238E27FC236}">
              <a16:creationId xmlns:a16="http://schemas.microsoft.com/office/drawing/2014/main" id="{DE2F4B04-9812-F8A2-4919-F0FB1492CC92}"/>
            </a:ext>
          </a:extLst>
        </xdr:cNvPr>
        <xdr:cNvSpPr txBox="1"/>
      </xdr:nvSpPr>
      <xdr:spPr>
        <a:xfrm>
          <a:off x="1121709" y="796738"/>
          <a:ext cx="795617" cy="144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D6E2DAE-9E16-406D-A7D7-83F948FDCF74}" type="TxLink">
            <a:rPr lang="en-US" sz="1100" b="0" i="0" u="none" strike="noStrike">
              <a:solidFill>
                <a:srgbClr val="000000"/>
              </a:solidFill>
              <a:latin typeface="Aptos Narrow"/>
            </a:rPr>
            <a:pPr algn="ctr"/>
            <a:t>513</a:t>
          </a:fld>
          <a:endParaRPr lang="en-US"/>
        </a:p>
      </xdr:txBody>
    </xdr:sp>
    <xdr:clientData/>
  </xdr:twoCellAnchor>
  <xdr:twoCellAnchor>
    <xdr:from>
      <xdr:col>3</xdr:col>
      <xdr:colOff>426944</xdr:colOff>
      <xdr:row>5</xdr:row>
      <xdr:rowOff>34738</xdr:rowOff>
    </xdr:from>
    <xdr:to>
      <xdr:col>5</xdr:col>
      <xdr:colOff>1120</xdr:colOff>
      <xdr:row>5</xdr:row>
      <xdr:rowOff>141194</xdr:rowOff>
    </xdr:to>
    <xdr:sp macro="" textlink="">
      <xdr:nvSpPr>
        <xdr:cNvPr id="38" name="TextBox 37">
          <a:extLst>
            <a:ext uri="{FF2B5EF4-FFF2-40B4-BE49-F238E27FC236}">
              <a16:creationId xmlns:a16="http://schemas.microsoft.com/office/drawing/2014/main" id="{93C408B2-80B8-7E09-D8FA-FC55033E6176}"/>
            </a:ext>
          </a:extLst>
        </xdr:cNvPr>
        <xdr:cNvSpPr txBox="1"/>
      </xdr:nvSpPr>
      <xdr:spPr>
        <a:xfrm>
          <a:off x="2259106" y="987238"/>
          <a:ext cx="795617" cy="106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600"/>
            <a:t>Average</a:t>
          </a:r>
          <a:r>
            <a:rPr lang="en-US" sz="600" baseline="0"/>
            <a:t> Wait Time</a:t>
          </a:r>
          <a:r>
            <a:rPr lang="en-US" sz="700" baseline="0"/>
            <a:t>	</a:t>
          </a:r>
        </a:p>
        <a:p>
          <a:pPr algn="ctr"/>
          <a:endParaRPr lang="en-US" sz="700"/>
        </a:p>
      </xdr:txBody>
    </xdr:sp>
    <xdr:clientData/>
  </xdr:twoCellAnchor>
  <xdr:twoCellAnchor>
    <xdr:from>
      <xdr:col>3</xdr:col>
      <xdr:colOff>426944</xdr:colOff>
      <xdr:row>4</xdr:row>
      <xdr:rowOff>34738</xdr:rowOff>
    </xdr:from>
    <xdr:to>
      <xdr:col>5</xdr:col>
      <xdr:colOff>1120</xdr:colOff>
      <xdr:row>4</xdr:row>
      <xdr:rowOff>179294</xdr:rowOff>
    </xdr:to>
    <xdr:sp macro="" textlink="'Pivot Report'!A9">
      <xdr:nvSpPr>
        <xdr:cNvPr id="39" name="TextBox 38">
          <a:extLst>
            <a:ext uri="{FF2B5EF4-FFF2-40B4-BE49-F238E27FC236}">
              <a16:creationId xmlns:a16="http://schemas.microsoft.com/office/drawing/2014/main" id="{DD3C3F05-C473-20F1-D4EF-390D9532FC91}"/>
            </a:ext>
          </a:extLst>
        </xdr:cNvPr>
        <xdr:cNvSpPr txBox="1"/>
      </xdr:nvSpPr>
      <xdr:spPr>
        <a:xfrm>
          <a:off x="2259106" y="796738"/>
          <a:ext cx="795617" cy="144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61B81E4-E8F9-4270-8617-99561CA35849}" type="TxLink">
            <a:rPr lang="en-US" sz="1100" b="0" i="0" u="none" strike="noStrike">
              <a:solidFill>
                <a:srgbClr val="000000"/>
              </a:solidFill>
              <a:latin typeface="Aptos Narrow"/>
            </a:rPr>
            <a:pPr algn="ctr"/>
            <a:t>36.32</a:t>
          </a:fld>
          <a:endParaRPr lang="en-US"/>
        </a:p>
      </xdr:txBody>
    </xdr:sp>
    <xdr:clientData/>
  </xdr:twoCellAnchor>
  <xdr:twoCellAnchor>
    <xdr:from>
      <xdr:col>5</xdr:col>
      <xdr:colOff>292474</xdr:colOff>
      <xdr:row>5</xdr:row>
      <xdr:rowOff>34738</xdr:rowOff>
    </xdr:from>
    <xdr:to>
      <xdr:col>6</xdr:col>
      <xdr:colOff>477370</xdr:colOff>
      <xdr:row>5</xdr:row>
      <xdr:rowOff>142875</xdr:rowOff>
    </xdr:to>
    <xdr:sp macro="" textlink="">
      <xdr:nvSpPr>
        <xdr:cNvPr id="40" name="TextBox 39">
          <a:extLst>
            <a:ext uri="{FF2B5EF4-FFF2-40B4-BE49-F238E27FC236}">
              <a16:creationId xmlns:a16="http://schemas.microsoft.com/office/drawing/2014/main" id="{EE955DBD-CF67-B9A2-730F-99D2B8565FF1}"/>
            </a:ext>
          </a:extLst>
        </xdr:cNvPr>
        <xdr:cNvSpPr txBox="1"/>
      </xdr:nvSpPr>
      <xdr:spPr>
        <a:xfrm>
          <a:off x="3335182" y="987238"/>
          <a:ext cx="793438" cy="108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600"/>
            <a:t>Patient</a:t>
          </a:r>
          <a:r>
            <a:rPr lang="en-US" sz="600" baseline="0"/>
            <a:t> Satisfaction Score</a:t>
          </a:r>
        </a:p>
        <a:p>
          <a:pPr algn="ctr"/>
          <a:endParaRPr lang="en-US" sz="700"/>
        </a:p>
      </xdr:txBody>
    </xdr:sp>
    <xdr:clientData/>
  </xdr:twoCellAnchor>
  <xdr:twoCellAnchor>
    <xdr:from>
      <xdr:col>5</xdr:col>
      <xdr:colOff>292474</xdr:colOff>
      <xdr:row>4</xdr:row>
      <xdr:rowOff>34738</xdr:rowOff>
    </xdr:from>
    <xdr:to>
      <xdr:col>6</xdr:col>
      <xdr:colOff>477370</xdr:colOff>
      <xdr:row>4</xdr:row>
      <xdr:rowOff>179294</xdr:rowOff>
    </xdr:to>
    <xdr:sp macro="" textlink="'Pivot Report'!A12">
      <xdr:nvSpPr>
        <xdr:cNvPr id="41" name="TextBox 40">
          <a:extLst>
            <a:ext uri="{FF2B5EF4-FFF2-40B4-BE49-F238E27FC236}">
              <a16:creationId xmlns:a16="http://schemas.microsoft.com/office/drawing/2014/main" id="{F57EB598-7824-0611-2C63-F7B3C105C474}"/>
            </a:ext>
          </a:extLst>
        </xdr:cNvPr>
        <xdr:cNvSpPr txBox="1"/>
      </xdr:nvSpPr>
      <xdr:spPr>
        <a:xfrm>
          <a:off x="3346077" y="796738"/>
          <a:ext cx="795617" cy="144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D70D215-D3F8-4DAD-867D-3D76D15A00F6}" type="TxLink">
            <a:rPr lang="en-US" sz="1100" b="0" i="0" u="none" strike="noStrike">
              <a:solidFill>
                <a:srgbClr val="000000"/>
              </a:solidFill>
              <a:latin typeface="Aptos Narrow"/>
            </a:rPr>
            <a:pPr algn="ctr"/>
            <a:t>4.96</a:t>
          </a:fld>
          <a:endParaRPr lang="en-US"/>
        </a:p>
      </xdr:txBody>
    </xdr:sp>
    <xdr:clientData/>
  </xdr:twoCellAnchor>
  <xdr:twoCellAnchor editAs="oneCell">
    <xdr:from>
      <xdr:col>2</xdr:col>
      <xdr:colOff>549087</xdr:colOff>
      <xdr:row>3</xdr:row>
      <xdr:rowOff>44822</xdr:rowOff>
    </xdr:from>
    <xdr:to>
      <xdr:col>3</xdr:col>
      <xdr:colOff>224117</xdr:colOff>
      <xdr:row>4</xdr:row>
      <xdr:rowOff>140073</xdr:rowOff>
    </xdr:to>
    <xdr:pic>
      <xdr:nvPicPr>
        <xdr:cNvPr id="43" name="Graphic 42" descr="Male profile with solid fill">
          <a:extLst>
            <a:ext uri="{FF2B5EF4-FFF2-40B4-BE49-F238E27FC236}">
              <a16:creationId xmlns:a16="http://schemas.microsoft.com/office/drawing/2014/main" id="{41D38375-8036-7D19-BC75-0B8B89FDE07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70528" y="616322"/>
          <a:ext cx="285751" cy="285751"/>
        </a:xfrm>
        <a:prstGeom prst="rect">
          <a:avLst/>
        </a:prstGeom>
      </xdr:spPr>
    </xdr:pic>
    <xdr:clientData/>
  </xdr:twoCellAnchor>
  <xdr:twoCellAnchor editAs="oneCell">
    <xdr:from>
      <xdr:col>4</xdr:col>
      <xdr:colOff>527798</xdr:colOff>
      <xdr:row>3</xdr:row>
      <xdr:rowOff>56031</xdr:rowOff>
    </xdr:from>
    <xdr:to>
      <xdr:col>5</xdr:col>
      <xdr:colOff>146797</xdr:colOff>
      <xdr:row>4</xdr:row>
      <xdr:rowOff>95251</xdr:rowOff>
    </xdr:to>
    <xdr:pic>
      <xdr:nvPicPr>
        <xdr:cNvPr id="45" name="Graphic 44" descr="Hourglass Finished with solid fill">
          <a:extLst>
            <a:ext uri="{FF2B5EF4-FFF2-40B4-BE49-F238E27FC236}">
              <a16:creationId xmlns:a16="http://schemas.microsoft.com/office/drawing/2014/main" id="{94C007AC-42A1-C2D8-3A2F-6FB9BF82967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70680" y="627531"/>
          <a:ext cx="229720" cy="229720"/>
        </a:xfrm>
        <a:prstGeom prst="rect">
          <a:avLst/>
        </a:prstGeom>
      </xdr:spPr>
    </xdr:pic>
    <xdr:clientData/>
  </xdr:twoCellAnchor>
  <xdr:twoCellAnchor editAs="oneCell">
    <xdr:from>
      <xdr:col>6</xdr:col>
      <xdr:colOff>303677</xdr:colOff>
      <xdr:row>3</xdr:row>
      <xdr:rowOff>28015</xdr:rowOff>
    </xdr:from>
    <xdr:to>
      <xdr:col>6</xdr:col>
      <xdr:colOff>583824</xdr:colOff>
      <xdr:row>4</xdr:row>
      <xdr:rowOff>117662</xdr:rowOff>
    </xdr:to>
    <xdr:pic>
      <xdr:nvPicPr>
        <xdr:cNvPr id="47" name="Graphic 46" descr="Theatre with solid fill">
          <a:extLst>
            <a:ext uri="{FF2B5EF4-FFF2-40B4-BE49-F238E27FC236}">
              <a16:creationId xmlns:a16="http://schemas.microsoft.com/office/drawing/2014/main" id="{8A930EA5-B4FD-94A0-ABAC-9D8F31B9694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68001" y="599515"/>
          <a:ext cx="280147" cy="280147"/>
        </a:xfrm>
        <a:prstGeom prst="rect">
          <a:avLst/>
        </a:prstGeom>
      </xdr:spPr>
    </xdr:pic>
    <xdr:clientData/>
  </xdr:twoCellAnchor>
  <xdr:twoCellAnchor editAs="oneCell">
    <xdr:from>
      <xdr:col>0</xdr:col>
      <xdr:colOff>123267</xdr:colOff>
      <xdr:row>3</xdr:row>
      <xdr:rowOff>100851</xdr:rowOff>
    </xdr:from>
    <xdr:to>
      <xdr:col>1</xdr:col>
      <xdr:colOff>240927</xdr:colOff>
      <xdr:row>15</xdr:row>
      <xdr:rowOff>37042</xdr:rowOff>
    </xdr:to>
    <mc:AlternateContent xmlns:mc="http://schemas.openxmlformats.org/markup-compatibility/2006" xmlns:a14="http://schemas.microsoft.com/office/drawing/2010/main">
      <mc:Choice Requires="a14">
        <xdr:graphicFrame macro="">
          <xdr:nvGraphicFramePr>
            <xdr:cNvPr id="8" name="Date (Month)">
              <a:extLst>
                <a:ext uri="{FF2B5EF4-FFF2-40B4-BE49-F238E27FC236}">
                  <a16:creationId xmlns:a16="http://schemas.microsoft.com/office/drawing/2014/main" id="{B35FF322-33C5-4824-BAAD-DF9F6368A91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23267" y="672351"/>
              <a:ext cx="728381" cy="2257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341781</xdr:colOff>
      <xdr:row>5</xdr:row>
      <xdr:rowOff>56029</xdr:rowOff>
    </xdr:from>
    <xdr:to>
      <xdr:col>3</xdr:col>
      <xdr:colOff>257736</xdr:colOff>
      <xdr:row>6</xdr:row>
      <xdr:rowOff>134471</xdr:rowOff>
    </xdr:to>
    <xdr:graphicFrame macro="">
      <xdr:nvGraphicFramePr>
        <xdr:cNvPr id="10" name="Chart 9">
          <a:hlinkClick xmlns:r="http://schemas.openxmlformats.org/officeDocument/2006/relationships" r:id="rId8"/>
          <a:extLst>
            <a:ext uri="{FF2B5EF4-FFF2-40B4-BE49-F238E27FC236}">
              <a16:creationId xmlns:a16="http://schemas.microsoft.com/office/drawing/2014/main" id="{9820A266-5CA4-A2FC-905C-310E08D3B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117662</xdr:colOff>
      <xdr:row>4</xdr:row>
      <xdr:rowOff>145677</xdr:rowOff>
    </xdr:from>
    <xdr:to>
      <xdr:col>5</xdr:col>
      <xdr:colOff>296956</xdr:colOff>
      <xdr:row>7</xdr:row>
      <xdr:rowOff>61632</xdr:rowOff>
    </xdr:to>
    <xdr:graphicFrame macro="">
      <xdr:nvGraphicFramePr>
        <xdr:cNvPr id="14" name="Chart 13">
          <a:hlinkClick xmlns:r="http://schemas.openxmlformats.org/officeDocument/2006/relationships" r:id="rId10"/>
          <a:extLst>
            <a:ext uri="{FF2B5EF4-FFF2-40B4-BE49-F238E27FC236}">
              <a16:creationId xmlns:a16="http://schemas.microsoft.com/office/drawing/2014/main" id="{BCFAC2B5-26C9-9346-E4C7-8DD5B40D8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190500</xdr:colOff>
      <xdr:row>4</xdr:row>
      <xdr:rowOff>179917</xdr:rowOff>
    </xdr:from>
    <xdr:to>
      <xdr:col>6</xdr:col>
      <xdr:colOff>597959</xdr:colOff>
      <xdr:row>6</xdr:row>
      <xdr:rowOff>112485</xdr:rowOff>
    </xdr:to>
    <xdr:graphicFrame macro="">
      <xdr:nvGraphicFramePr>
        <xdr:cNvPr id="15" name="Chart 14">
          <a:hlinkClick xmlns:r="http://schemas.openxmlformats.org/officeDocument/2006/relationships" r:id="rId12"/>
          <a:extLst>
            <a:ext uri="{FF2B5EF4-FFF2-40B4-BE49-F238E27FC236}">
              <a16:creationId xmlns:a16="http://schemas.microsoft.com/office/drawing/2014/main" id="{EADB83D5-057E-4614-8995-ED6535EEF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354541</xdr:colOff>
          <xdr:row>6</xdr:row>
          <xdr:rowOff>174625</xdr:rowOff>
        </xdr:from>
        <xdr:to>
          <xdr:col>6</xdr:col>
          <xdr:colOff>608542</xdr:colOff>
          <xdr:row>9</xdr:row>
          <xdr:rowOff>132292</xdr:rowOff>
        </xdr:to>
        <xdr:pic>
          <xdr:nvPicPr>
            <xdr:cNvPr id="17" name="Picture 16">
              <a:extLst>
                <a:ext uri="{FF2B5EF4-FFF2-40B4-BE49-F238E27FC236}">
                  <a16:creationId xmlns:a16="http://schemas.microsoft.com/office/drawing/2014/main" id="{E456F4D2-2033-A5E2-9116-FF0A93AE9C8F}"/>
                </a:ext>
              </a:extLst>
            </xdr:cNvPr>
            <xdr:cNvPicPr>
              <a:picLocks noChangeAspect="1" noChangeArrowheads="1"/>
              <a:extLst>
                <a:ext uri="{84589F7E-364E-4C9E-8A38-B11213B215E9}">
                  <a14:cameraTool cellRange="'Pivot Report'!$A$39:$D$41" spid="_x0000_s1035"/>
                </a:ext>
              </a:extLst>
            </xdr:cNvPicPr>
          </xdr:nvPicPr>
          <xdr:blipFill>
            <a:blip xmlns:r="http://schemas.openxmlformats.org/officeDocument/2006/relationships" r:embed="rId14"/>
            <a:srcRect/>
            <a:stretch>
              <a:fillRect/>
            </a:stretch>
          </xdr:blipFill>
          <xdr:spPr bwMode="auto">
            <a:xfrm>
              <a:off x="963083" y="1317625"/>
              <a:ext cx="3296709" cy="529167"/>
            </a:xfrm>
            <a:prstGeom prst="rect">
              <a:avLst/>
            </a:prstGeom>
            <a:ln>
              <a:noFill/>
            </a:ln>
            <a:effectLst>
              <a:outerShdw blurRad="190500" algn="tl" rotWithShape="0">
                <a:srgbClr val="000000">
                  <a:alpha val="7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1</xdr:col>
      <xdr:colOff>403545</xdr:colOff>
      <xdr:row>9</xdr:row>
      <xdr:rowOff>185209</xdr:rowOff>
    </xdr:from>
    <xdr:to>
      <xdr:col>6</xdr:col>
      <xdr:colOff>603251</xdr:colOff>
      <xdr:row>15</xdr:row>
      <xdr:rowOff>111124</xdr:rowOff>
    </xdr:to>
    <xdr:graphicFrame macro="">
      <xdr:nvGraphicFramePr>
        <xdr:cNvPr id="20" name="Chart 19">
          <a:extLst>
            <a:ext uri="{FF2B5EF4-FFF2-40B4-BE49-F238E27FC236}">
              <a16:creationId xmlns:a16="http://schemas.microsoft.com/office/drawing/2014/main" id="{BAC298E1-02EB-4EEB-BCBB-9E176DC10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100541</xdr:colOff>
      <xdr:row>0</xdr:row>
      <xdr:rowOff>58208</xdr:rowOff>
    </xdr:from>
    <xdr:to>
      <xdr:col>9</xdr:col>
      <xdr:colOff>84666</xdr:colOff>
      <xdr:row>6</xdr:row>
      <xdr:rowOff>5292</xdr:rowOff>
    </xdr:to>
    <xdr:graphicFrame macro="">
      <xdr:nvGraphicFramePr>
        <xdr:cNvPr id="22" name="Chart 21">
          <a:extLst>
            <a:ext uri="{FF2B5EF4-FFF2-40B4-BE49-F238E27FC236}">
              <a16:creationId xmlns:a16="http://schemas.microsoft.com/office/drawing/2014/main" id="{12C2A928-C455-48EC-9EBE-89EA2AC8C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63499</xdr:colOff>
      <xdr:row>0</xdr:row>
      <xdr:rowOff>68792</xdr:rowOff>
    </xdr:from>
    <xdr:to>
      <xdr:col>11</xdr:col>
      <xdr:colOff>31750</xdr:colOff>
      <xdr:row>5</xdr:row>
      <xdr:rowOff>174625</xdr:rowOff>
    </xdr:to>
    <xdr:graphicFrame macro="">
      <xdr:nvGraphicFramePr>
        <xdr:cNvPr id="23" name="Chart 22">
          <a:extLst>
            <a:ext uri="{FF2B5EF4-FFF2-40B4-BE49-F238E27FC236}">
              <a16:creationId xmlns:a16="http://schemas.microsoft.com/office/drawing/2014/main" id="{C27568C5-69DC-47BD-ADE0-4A14EF551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95250</xdr:colOff>
      <xdr:row>6</xdr:row>
      <xdr:rowOff>79375</xdr:rowOff>
    </xdr:from>
    <xdr:to>
      <xdr:col>10</xdr:col>
      <xdr:colOff>566209</xdr:colOff>
      <xdr:row>15</xdr:row>
      <xdr:rowOff>116417</xdr:rowOff>
    </xdr:to>
    <xdr:graphicFrame macro="">
      <xdr:nvGraphicFramePr>
        <xdr:cNvPr id="24" name="Chart 23">
          <a:extLst>
            <a:ext uri="{FF2B5EF4-FFF2-40B4-BE49-F238E27FC236}">
              <a16:creationId xmlns:a16="http://schemas.microsoft.com/office/drawing/2014/main" id="{B1CF3113-DAAB-4B65-AC25-6E52AEBF0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158750</xdr:colOff>
      <xdr:row>14</xdr:row>
      <xdr:rowOff>81282</xdr:rowOff>
    </xdr:from>
    <xdr:to>
      <xdr:col>10</xdr:col>
      <xdr:colOff>492124</xdr:colOff>
      <xdr:row>15</xdr:row>
      <xdr:rowOff>79376</xdr:rowOff>
    </xdr:to>
    <xdr:sp macro="" textlink="">
      <xdr:nvSpPr>
        <xdr:cNvPr id="25" name="TextBox 24">
          <a:extLst>
            <a:ext uri="{FF2B5EF4-FFF2-40B4-BE49-F238E27FC236}">
              <a16:creationId xmlns:a16="http://schemas.microsoft.com/office/drawing/2014/main" id="{5E524BCA-EA0B-3BD8-9794-D946965A397C}"/>
            </a:ext>
          </a:extLst>
        </xdr:cNvPr>
        <xdr:cNvSpPr txBox="1"/>
      </xdr:nvSpPr>
      <xdr:spPr>
        <a:xfrm>
          <a:off x="4439708" y="2748282"/>
          <a:ext cx="2158999" cy="188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0">
              <a:solidFill>
                <a:schemeClr val="tx1"/>
              </a:solidFill>
            </a:rPr>
            <a:t>Number</a:t>
          </a:r>
          <a:r>
            <a:rPr lang="en-US" sz="800" b="0" baseline="0">
              <a:solidFill>
                <a:schemeClr val="tx1"/>
              </a:solidFill>
            </a:rPr>
            <a:t> Of Patient By Department referral</a:t>
          </a:r>
          <a:endParaRPr lang="en-US" sz="800" b="0">
            <a:solidFill>
              <a:schemeClr val="tx1"/>
            </a:solidFill>
          </a:endParaRPr>
        </a:p>
      </xdr:txBody>
    </xdr:sp>
    <xdr:clientData/>
  </xdr:twoCellAnchor>
  <xdr:twoCellAnchor>
    <xdr:from>
      <xdr:col>2</xdr:col>
      <xdr:colOff>423334</xdr:colOff>
      <xdr:row>14</xdr:row>
      <xdr:rowOff>174624</xdr:rowOff>
    </xdr:from>
    <xdr:to>
      <xdr:col>5</xdr:col>
      <xdr:colOff>518584</xdr:colOff>
      <xdr:row>15</xdr:row>
      <xdr:rowOff>100541</xdr:rowOff>
    </xdr:to>
    <xdr:sp macro="" textlink="">
      <xdr:nvSpPr>
        <xdr:cNvPr id="27" name="TextBox 26">
          <a:extLst>
            <a:ext uri="{FF2B5EF4-FFF2-40B4-BE49-F238E27FC236}">
              <a16:creationId xmlns:a16="http://schemas.microsoft.com/office/drawing/2014/main" id="{2DEC2718-AA89-4B58-6718-9CEDE18E83D7}"/>
            </a:ext>
          </a:extLst>
        </xdr:cNvPr>
        <xdr:cNvSpPr txBox="1"/>
      </xdr:nvSpPr>
      <xdr:spPr>
        <a:xfrm>
          <a:off x="1640417" y="2841624"/>
          <a:ext cx="1920875" cy="116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0" baseline="0">
              <a:solidFill>
                <a:schemeClr val="tx1"/>
              </a:solidFill>
              <a:latin typeface="+mn-lt"/>
              <a:ea typeface="+mn-ea"/>
              <a:cs typeface="+mn-cs"/>
            </a:rPr>
            <a:t>No. Of Patient By Age Group</a:t>
          </a:r>
        </a:p>
      </xdr:txBody>
    </xdr:sp>
    <xdr:clientData/>
  </xdr:twoCellAnchor>
  <xdr:twoCellAnchor editAs="oneCell">
    <xdr:from>
      <xdr:col>5</xdr:col>
      <xdr:colOff>296335</xdr:colOff>
      <xdr:row>0</xdr:row>
      <xdr:rowOff>79374</xdr:rowOff>
    </xdr:from>
    <xdr:to>
      <xdr:col>6</xdr:col>
      <xdr:colOff>608543</xdr:colOff>
      <xdr:row>2</xdr:row>
      <xdr:rowOff>79375</xdr:rowOff>
    </xdr:to>
    <mc:AlternateContent xmlns:mc="http://schemas.openxmlformats.org/markup-compatibility/2006">
      <mc:Choice xmlns:a14="http://schemas.microsoft.com/office/drawing/2010/main" Requires="a14">
        <xdr:graphicFrame macro="">
          <xdr:nvGraphicFramePr>
            <xdr:cNvPr id="28" name="Date (Year)">
              <a:extLst>
                <a:ext uri="{FF2B5EF4-FFF2-40B4-BE49-F238E27FC236}">
                  <a16:creationId xmlns:a16="http://schemas.microsoft.com/office/drawing/2014/main" id="{84E188BD-9E06-456D-8CEC-431EA5F6285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339043" y="79374"/>
              <a:ext cx="920750" cy="38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23</xdr:row>
      <xdr:rowOff>38100</xdr:rowOff>
    </xdr:to>
    <xdr:graphicFrame macro="">
      <xdr:nvGraphicFramePr>
        <xdr:cNvPr id="2" name="Chart 1">
          <a:extLst>
            <a:ext uri="{FF2B5EF4-FFF2-40B4-BE49-F238E27FC236}">
              <a16:creationId xmlns:a16="http://schemas.microsoft.com/office/drawing/2014/main" id="{6C671F97-E22A-41AC-B8F8-9904DDC0E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152400</xdr:colOff>
      <xdr:row>0</xdr:row>
      <xdr:rowOff>57150</xdr:rowOff>
    </xdr:from>
    <xdr:to>
      <xdr:col>0</xdr:col>
      <xdr:colOff>581025</xdr:colOff>
      <xdr:row>2</xdr:row>
      <xdr:rowOff>104775</xdr:rowOff>
    </xdr:to>
    <xdr:pic>
      <xdr:nvPicPr>
        <xdr:cNvPr id="4" name="Graphic 3" descr="Home with solid fill">
          <a:extLst>
            <a:ext uri="{FF2B5EF4-FFF2-40B4-BE49-F238E27FC236}">
              <a16:creationId xmlns:a16="http://schemas.microsoft.com/office/drawing/2014/main" id="{2E3F338F-D75F-DAC4-F3B7-401E40DF312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2400" y="57150"/>
          <a:ext cx="428625" cy="428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161924</xdr:colOff>
      <xdr:row>0</xdr:row>
      <xdr:rowOff>0</xdr:rowOff>
    </xdr:from>
    <xdr:to>
      <xdr:col>15</xdr:col>
      <xdr:colOff>95249</xdr:colOff>
      <xdr:row>23</xdr:row>
      <xdr:rowOff>28574</xdr:rowOff>
    </xdr:to>
    <xdr:graphicFrame macro="">
      <xdr:nvGraphicFramePr>
        <xdr:cNvPr id="2" name="Chart 1">
          <a:extLst>
            <a:ext uri="{FF2B5EF4-FFF2-40B4-BE49-F238E27FC236}">
              <a16:creationId xmlns:a16="http://schemas.microsoft.com/office/drawing/2014/main" id="{E4A2D3E6-F1DC-4724-9905-4B239337E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190500</xdr:colOff>
      <xdr:row>0</xdr:row>
      <xdr:rowOff>0</xdr:rowOff>
    </xdr:from>
    <xdr:to>
      <xdr:col>1</xdr:col>
      <xdr:colOff>19050</xdr:colOff>
      <xdr:row>2</xdr:row>
      <xdr:rowOff>57150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CC54D07-4A57-CDA6-98AE-76C68437D57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500" y="0"/>
          <a:ext cx="438150" cy="4381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1527778" createdVersion="8" refreshedVersion="8" minRefreshableVersion="3" recordCount="0" supportSubquery="1" supportAdvancedDrill="1" xr:uid="{F999B3DA-2FAA-4E1C-B161-7D072D305C73}">
  <cacheSource type="external" connectionId="3"/>
  <cacheFields count="4">
    <cacheField name="[Measures].[Distinct Count of Patient Id]" caption="Distinct Count of Patient Id" numFmtId="0" hierarchy="25" level="32767"/>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1875001" createdVersion="5" refreshedVersion="8" minRefreshableVersion="3" recordCount="0" supportSubquery="1" supportAdvancedDrill="1" xr:uid="{DE1E8CDF-F675-40C8-B352-B1C70B145B78}">
  <cacheSource type="external" connectionId="3"/>
  <cacheFields count="3">
    <cacheField name="[Measures].[Count of Patient Id]" caption="Count of Patient Id" numFmtId="0" hierarchy="24"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2337963" createdVersion="8" refreshedVersion="8" minRefreshableVersion="3" recordCount="0" supportSubquery="1" supportAdvancedDrill="1" xr:uid="{2967CC0B-4723-48DB-A9DD-D7DB4E89EAFD}">
  <cacheSource type="external" connectionId="3"/>
  <cacheFields count="3">
    <cacheField name="[Measures].[Average of Patient Waittime]" caption="Average of Patient Waittime" numFmtId="0" hierarchy="27"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2685186" createdVersion="8" refreshedVersion="8" minRefreshableVersion="3" recordCount="0" supportSubquery="1" supportAdvancedDrill="1" xr:uid="{C65AD1E8-A14E-4019-B31E-278F80992D54}">
  <cacheSource type="external" connectionId="3"/>
  <cacheFields count="3">
    <cacheField name="[Measures].[Average of Patient Satisfaction Score]" caption="Average of Patient Satisfaction Score" numFmtId="0" hierarchy="29"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3379633" createdVersion="8" refreshedVersion="8" minRefreshableVersion="3" recordCount="0" supportSubquery="1" supportAdvancedDrill="1" xr:uid="{1B73DB64-4BBA-45ED-B57C-6CED78F65DF1}">
  <cacheSource type="external" connectionId="3"/>
  <cacheFields count="4">
    <cacheField name="[Measures].[Average of Patient Waittime]" caption="Average of Patient Waittime" numFmtId="0" hierarchy="27" level="32767"/>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4189818" createdVersion="8" refreshedVersion="8" minRefreshableVersion="3" recordCount="0" supportSubquery="1" supportAdvancedDrill="1" xr:uid="{345956B0-8C63-462D-A1A7-D3D57E0A1905}">
  <cacheSource type="external" connectionId="3"/>
  <cacheFields count="4">
    <cacheField name="[Calenda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4884257" createdVersion="8" refreshedVersion="8" minRefreshableVersion="3" recordCount="0" supportSubquery="1" supportAdvancedDrill="1" xr:uid="{1296FE9C-F637-4470-A255-80F16C383A7D}">
  <cacheSource type="external" connectionId="3"/>
  <cacheFields count="5">
    <cacheField name="[Calenda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_1]" caption="Count of Patient Admission Flag_1" numFmtId="0" hierarchy="31" level="32767"/>
    <cacheField name="[Calendar Table].[Date (Year)].[Date (Year)]" caption="Date (Year)" numFmtId="0" hierarchy="3" level="1">
      <sharedItems containsSemiMixedTypes="0" containsNonDate="0" containsString="0"/>
    </cacheField>
    <cacheField name="Dummy0" numFmtId="0" hierarchy="37" level="32767">
      <extLst>
        <ext xmlns:x14="http://schemas.microsoft.com/office/spreadsheetml/2009/9/main" uri="{63CAB8AC-B538-458d-9737-405883B0398D}">
          <x14:cacheField ignore="1"/>
        </ext>
      </extLst>
    </cacheField>
  </cacheFields>
  <cacheHierarchies count="38">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5578704" createdVersion="8" refreshedVersion="8" minRefreshableVersion="3" recordCount="0" supportSubquery="1" supportAdvancedDrill="1" xr:uid="{363E2A2F-7CB4-4DE1-BA10-0FDC2EF27E73}">
  <cacheSource type="external" connectionId="3"/>
  <cacheFields count="4">
    <cacheField name="[Calendar 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9"/>
        <s v="10-19"/>
        <s v="20-29"/>
        <s v="30-39"/>
        <s v="40-49"/>
        <s v="50-59"/>
        <s v="60-69"/>
        <s v="70-79"/>
      </sharedItems>
    </cacheField>
    <cacheField name="[Measures].[Count of Patient Age]" caption="Count of Patient Age" numFmtId="0" hierarchy="33" level="32767"/>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6388889" createdVersion="8" refreshedVersion="8" minRefreshableVersion="3" recordCount="0" supportSubquery="1" supportAdvancedDrill="1" xr:uid="{6BD6EA13-7E0D-4F58-8AB1-459FF00EDB8D}">
  <cacheSource type="external" connectionId="3"/>
  <cacheFields count="4">
    <cacheField name="[Calendar 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4" level="32767"/>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7083335" createdVersion="8" refreshedVersion="8" minRefreshableVersion="3" recordCount="0" supportSubquery="1" supportAdvancedDrill="1" xr:uid="{145E6C97-C15E-4391-AC6F-CA6EAA995571}">
  <cacheSource type="external" connectionId="3"/>
  <cacheFields count="4">
    <cacheField name="[Calendar 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5" level="32767"/>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7893521" createdVersion="8" refreshedVersion="8" minRefreshableVersion="3" recordCount="0" supportSubquery="1" supportAdvancedDrill="1" xr:uid="{1D3ADBCF-1CE9-4678-B586-D9C969C06B32}">
  <cacheSource type="external" connectionId="3"/>
  <cacheFields count="4">
    <cacheField name="[Calenda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Calendar Table].[Date (Year)].[Date (Year)]" caption="Date (Year)" numFmtId="0" hierarchy="3" level="1">
      <sharedItems containsSemiMixedTypes="0" containsNonDate="0" containsString="0"/>
    </cacheField>
  </cacheFields>
  <cacheHierarchies count="37">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4.70472858796" createdVersion="8" refreshedVersion="8" minRefreshableVersion="3" recordCount="0" supportSubquery="1" supportAdvancedDrill="1" xr:uid="{3E78698F-B53D-44FE-8683-16DF1C409033}">
  <cacheSource type="external" connectionId="3"/>
  <cacheFields count="4">
    <cacheField name="[Calendar Table].[Date (Month)].[Date (Month)]" caption="Date (Month)" numFmtId="0" hierarchy="1" level="1">
      <sharedItems count="1">
        <s v="Jan"/>
      </sharedItems>
    </cacheField>
    <cacheField name="[Calendar 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 Table].[Date (Quarter)].[Date (Quarter)]" caption="Date (Quarter)" numFmtId="0" hierarchy="4" level="1">
      <sharedItems count="1">
        <s v="Qtr1"/>
      </sharedItems>
    </cacheField>
    <cacheField name="[Calendar Table].[Date (Year)].[Date (Year)]" caption="Date (Year)" numFmtId="0" hierarchy="3" level="1">
      <sharedItems count="1">
        <s v="2024"/>
      </sharedItems>
    </cacheField>
  </cacheFields>
  <cacheHierarchies count="37">
    <cacheHierarchy uniqueName="[Calendar Table].[Date]" caption="Date" attribute="1" time="1" defaultMemberUniqueName="[Calendar Table].[Date].[All]" allUniqueName="[Calendar Table].[Date].[All]" dimensionUniqueName="[Calendar Table]" displayFolder="" count="2" memberValueDatatype="7" unbalanced="0">
      <fieldsUsage count="2">
        <fieldUsage x="-1"/>
        <fieldUsage x="1"/>
      </fieldsUsage>
    </cacheHierarchy>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2"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Flag_1]" caption="Count of Patient Admission Flag_1"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uniqueName="[Hospital Emergency Room Data]" caption="Hospital Emergency Room Data"/>
    <dimension measure="1" name="Measures" uniqueName="[Measures]" caption="Measures"/>
  </dimensions>
  <measureGroups count="2">
    <measureGroup name="Calendar Table" caption="Calenda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76.787961574075" createdVersion="3" refreshedVersion="8" minRefreshableVersion="3" recordCount="0" supportSubquery="1" supportAdvancedDrill="1" xr:uid="{862B86AF-C69B-4083-94A4-85F5EE8CC250}">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dmission Flag_1]" caption="Patient Admission Flag_1" attribute="1" defaultMemberUniqueName="[Hospital Emergency Room Data].[Patient Admission Flag_1].[All]" allUniqueName="[Hospital Emergency Room Data].[Patient Admission Flag_1].[All]" dimensionUniqueName="[Hospital Emergency Room Data]" displayFolder="" count="0" memberValueDatatype="11"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3247177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7F3A9E-1E4C-454A-B402-2BFDD1063A36}" name="PivotTable13" cacheId="12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84:A8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03">
      <pivotArea outline="0" collapsedLevelsAreSubtotals="1" fieldPosition="0"/>
    </format>
  </formats>
  <pivotHierarchies count="3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CE4D5E-E3B3-4AC7-B83A-9535B572B5BC}" name="PivotTable12" cacheId="12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71:B8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323">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17CF93-C7BE-44F0-8923-F29A85652510}" name="PivotTable11" cacheId="12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64: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showDataAs="percentOfTotal" baseField="0" baseItem="0" numFmtId="10"/>
  </dataFields>
  <formats count="3">
    <format dxfId="326">
      <pivotArea outline="0" collapsedLevelsAreSubtotals="1" fieldPosition="0"/>
    </format>
    <format dxfId="325">
      <pivotArea outline="0" fieldPosition="0">
        <references count="1">
          <reference field="4294967294" count="1">
            <x v="0"/>
          </reference>
        </references>
      </pivotArea>
    </format>
    <format dxfId="324">
      <pivotArea collapsedLevelsAreSubtotals="1" fieldPosition="0">
        <references count="1">
          <reference field="1" count="0"/>
        </references>
      </pivotArea>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CD0129-AC04-4691-A0EB-70723F90C8CD}" name="PivotTable10" cacheId="12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58: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27">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CC6306-240A-41A5-8DBB-A2F574B7A709}" name="PivotTable9" cacheId="12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46:B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Age" fld="2" subtotal="count" baseField="1" baseItem="0" numFmtId="1"/>
  </dataFields>
  <formats count="1">
    <format dxfId="32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3B6F79-FCA9-492A-9428-0DB3C72A9109}" name="PivotTable8" cacheId="12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5:C1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_1" fld="2" subtotal="count" baseField="0" baseItem="0"/>
    <dataField name="Count of Patient Admission Flag_1_2" fld="4" subtotal="count" showDataAs="percentOfTotal" baseField="0" baseItem="0" numFmtId="10">
      <extLst>
        <ext xmlns:x14="http://schemas.microsoft.com/office/spreadsheetml/2009/9/main" uri="{E15A36E0-9728-4e99-A89B-3F7291B0FE68}">
          <x14:dataField sourceField="2" uniqueName="[__Xl2].[Measures].[Count of Patient Admission Flag_1]"/>
        </ext>
      </extLst>
    </dataField>
  </dataFields>
  <formats count="3">
    <format dxfId="331">
      <pivotArea outline="0" collapsedLevelsAreSubtotals="1" fieldPosition="0"/>
    </format>
    <format dxfId="330">
      <pivotArea collapsedLevelsAreSubtotals="1" fieldPosition="0">
        <references count="1">
          <reference field="1" count="0"/>
        </references>
      </pivotArea>
    </format>
    <format dxfId="32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BF2D84-5603-44DB-940D-E1A1AE640D88}" name="PivotTable7" cacheId="12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Row Labels">
  <location ref="K4:L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3">
    <format dxfId="334">
      <pivotArea collapsedLevelsAreSubtotals="1" fieldPosition="0">
        <references count="1">
          <reference field="0" count="1">
            <x v="0"/>
          </reference>
        </references>
      </pivotArea>
    </format>
    <format dxfId="333">
      <pivotArea outline="0" collapsedLevelsAreSubtotals="1" fieldPosition="0"/>
    </format>
    <format dxfId="332">
      <pivotArea dataOnly="0" labelOnly="1" outline="0" axis="axisValues" fieldPosition="0"/>
    </format>
  </formats>
  <chartFormats count="2">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A0CB4E-F66B-4317-940E-18626CB6F047}" name="PivotTable6" cacheId="12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335">
      <pivotArea outline="0" collapsedLevelsAreSubtotals="1" fieldPosition="0"/>
    </format>
  </formats>
  <pivotHierarchies count="37">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94BC49-CC5B-44ED-AF40-829C5113E220}" name="PivotTable2" cacheId="12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05E4BF-885F-48EA-A52C-90EB99E237B7}" name="PivotTable5" cacheId="12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36">
      <pivotArea outline="0" collapsedLevelsAreSubtotals="1" fieldPosition="0"/>
    </format>
  </formats>
  <pivotHierarchies count="37">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4BA606-0E97-4691-9BBC-1CBB6BF044C4}" name="PivotTable3" cacheId="12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Row Labels">
  <location ref="G4:H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0" subtotal="average" baseField="0" baseItem="0" numFmtId="2"/>
  </dataField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495A70-BA0A-4D1A-AFC1-DE9B631224FF}" name="PivotTable1" cacheId="1251" applyNumberFormats="0" applyBorderFormats="0" applyFontFormats="0" applyPatternFormats="0" applyAlignmentFormats="0" applyWidthHeightFormats="1" dataCaption="Values" tag="16b5170e-a6b8-42c8-9ad0-039c73ed2bb5"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7">
    <pivotHierarchy dragToData="1"/>
    <pivotHierarchy multipleItemSelectionAllowed="1" dragToData="1">
      <members count="1" level="1">
        <member name="[Calendar Table].[Date (Month)].&amp;[Jan]"/>
      </members>
    </pivotHierarchy>
    <pivotHierarchy dragToData="1"/>
    <pivotHierarchy multipleItemSelectionAllowed="1" dragToData="1">
      <members count="1" level="1">
        <member name="[Calenda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36390CA-0CA0-4597-B621-A0550F11E61A}" sourceName="[Calendar Table].[Date (Month)]">
  <pivotTables>
    <pivotTable tabId="1" name="PivotTable2"/>
    <pivotTable tabId="1" name="PivotTable1"/>
    <pivotTable tabId="1" name="PivotTable5"/>
    <pivotTable tabId="1" name="PivotTable6"/>
    <pivotTable tabId="1" name="PivotTable3"/>
    <pivotTable tabId="1" name="PivotTable7"/>
    <pivotTable tabId="1" name="PivotTable8"/>
    <pivotTable tabId="1" name="PivotTable9"/>
    <pivotTable tabId="1" name="PivotTable10"/>
    <pivotTable tabId="1" name="PivotTable11"/>
    <pivotTable tabId="1" name="PivotTable12"/>
    <pivotTable tabId="1" name="PivotTable13"/>
  </pivotTables>
  <data>
    <olap pivotCacheId="1324717740">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520BAE4-46A8-4FE5-8F56-49CF40D8FA5D}" sourceName="[Calendar 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5"/>
    <pivotTable tabId="1" name="PivotTable6"/>
    <pivotTable tabId="1" name="PivotTable7"/>
    <pivotTable tabId="1" name="PivotTable8"/>
    <pivotTable tabId="1" name="PivotTable9"/>
  </pivotTables>
  <data>
    <olap pivotCacheId="1324717740">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1441C78-49D9-40AF-AC10-2B06BE1DFFA7}" cache="Slicer_Date__Month" caption="Date (Month)" showCaption="0" level="1" style="mystyle" rowHeight="144000"/>
  <slicer name="Date (Year)" xr10:uid="{1A1046D3-A6E0-421B-BA28-9368FA96EC17}" cache="Slicer_Date__Year" caption="Date (Year)" columnCount="2" showCaption="0" level="1" style="my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516F4-658A-42AB-9F5C-1334627B8AA6}">
  <dimension ref="A3:L86"/>
  <sheetViews>
    <sheetView topLeftCell="A25" zoomScale="140" zoomScaleNormal="140" workbookViewId="0">
      <selection activeCell="E39" sqref="E39"/>
    </sheetView>
  </sheetViews>
  <sheetFormatPr defaultRowHeight="15" x14ac:dyDescent="0.25"/>
  <cols>
    <col min="1" max="1" width="16.85546875" customWidth="1"/>
    <col min="2" max="2" width="14.42578125" customWidth="1"/>
    <col min="3" max="3" width="13.5703125" customWidth="1"/>
    <col min="4" max="4" width="26.140625" customWidth="1"/>
    <col min="5" max="5" width="26" bestFit="1" customWidth="1"/>
    <col min="6" max="6" width="16.85546875" bestFit="1" customWidth="1"/>
    <col min="7" max="7" width="13.42578125" bestFit="1" customWidth="1"/>
    <col min="8" max="8" width="26.5703125" bestFit="1" customWidth="1"/>
    <col min="9" max="10" width="16.85546875" bestFit="1" customWidth="1"/>
    <col min="11" max="11" width="13.42578125" bestFit="1" customWidth="1"/>
    <col min="12" max="12" width="34.85546875" bestFit="1" customWidth="1"/>
    <col min="13" max="15" width="16.85546875" bestFit="1" customWidth="1"/>
    <col min="16" max="16" width="11.28515625" bestFit="1" customWidth="1"/>
    <col min="17" max="27" width="16.85546875" bestFit="1" customWidth="1"/>
    <col min="28" max="28" width="11.28515625" bestFit="1" customWidth="1"/>
    <col min="29" max="734" width="16.85546875" bestFit="1" customWidth="1"/>
    <col min="735" max="735" width="11.28515625" bestFit="1" customWidth="1"/>
  </cols>
  <sheetData>
    <row r="3" spans="1:12" x14ac:dyDescent="0.25">
      <c r="A3" t="s">
        <v>1</v>
      </c>
      <c r="D3" t="s">
        <v>7</v>
      </c>
      <c r="G3" t="s">
        <v>8</v>
      </c>
      <c r="K3" t="s">
        <v>40</v>
      </c>
    </row>
    <row r="4" spans="1:12" x14ac:dyDescent="0.25">
      <c r="A4" t="s">
        <v>0</v>
      </c>
      <c r="D4" s="4" t="s">
        <v>5</v>
      </c>
      <c r="E4" t="s">
        <v>6</v>
      </c>
      <c r="G4" s="4" t="s">
        <v>5</v>
      </c>
      <c r="H4" t="s">
        <v>2</v>
      </c>
      <c r="K4" s="4" t="s">
        <v>5</v>
      </c>
      <c r="L4" s="2" t="s">
        <v>3</v>
      </c>
    </row>
    <row r="5" spans="1:12" x14ac:dyDescent="0.25">
      <c r="A5" s="1">
        <v>513</v>
      </c>
      <c r="D5" s="5" t="s">
        <v>9</v>
      </c>
      <c r="E5" s="1">
        <v>19</v>
      </c>
      <c r="G5" s="5" t="s">
        <v>9</v>
      </c>
      <c r="H5" s="2">
        <v>37.789473684210527</v>
      </c>
      <c r="K5" s="5" t="s">
        <v>9</v>
      </c>
      <c r="L5" s="2">
        <v>6.666666666666667</v>
      </c>
    </row>
    <row r="6" spans="1:12" x14ac:dyDescent="0.25">
      <c r="D6" s="5" t="s">
        <v>10</v>
      </c>
      <c r="E6" s="1">
        <v>14</v>
      </c>
      <c r="G6" s="5" t="s">
        <v>10</v>
      </c>
      <c r="H6" s="2">
        <v>38.214285714285715</v>
      </c>
      <c r="K6" s="5" t="s">
        <v>10</v>
      </c>
      <c r="L6" s="2">
        <v>3.5</v>
      </c>
    </row>
    <row r="7" spans="1:12" x14ac:dyDescent="0.25">
      <c r="D7" s="5" t="s">
        <v>11</v>
      </c>
      <c r="E7" s="1">
        <v>13</v>
      </c>
      <c r="G7" s="5" t="s">
        <v>11</v>
      </c>
      <c r="H7" s="2">
        <v>40.92307692307692</v>
      </c>
      <c r="K7" s="5" t="s">
        <v>11</v>
      </c>
      <c r="L7" s="2">
        <v>4.5</v>
      </c>
    </row>
    <row r="8" spans="1:12" x14ac:dyDescent="0.25">
      <c r="A8" t="s">
        <v>2</v>
      </c>
      <c r="D8" s="5" t="s">
        <v>12</v>
      </c>
      <c r="E8" s="1">
        <v>22</v>
      </c>
      <c r="G8" s="5" t="s">
        <v>12</v>
      </c>
      <c r="H8" s="2">
        <v>34.5</v>
      </c>
      <c r="K8" s="5" t="s">
        <v>12</v>
      </c>
      <c r="L8" s="2">
        <v>4.8</v>
      </c>
    </row>
    <row r="9" spans="1:12" x14ac:dyDescent="0.25">
      <c r="A9" s="2">
        <v>36.323586744639378</v>
      </c>
      <c r="D9" s="5" t="s">
        <v>13</v>
      </c>
      <c r="E9" s="1">
        <v>19</v>
      </c>
      <c r="G9" s="5" t="s">
        <v>13</v>
      </c>
      <c r="H9" s="2">
        <v>30.684210526315791</v>
      </c>
      <c r="K9" s="5" t="s">
        <v>13</v>
      </c>
      <c r="L9" s="2">
        <v>7.75</v>
      </c>
    </row>
    <row r="10" spans="1:12" x14ac:dyDescent="0.25">
      <c r="D10" s="5" t="s">
        <v>14</v>
      </c>
      <c r="E10" s="1">
        <v>15</v>
      </c>
      <c r="G10" s="5" t="s">
        <v>14</v>
      </c>
      <c r="H10" s="2">
        <v>37.666666666666664</v>
      </c>
      <c r="K10" s="5" t="s">
        <v>14</v>
      </c>
      <c r="L10" s="2">
        <v>6.2</v>
      </c>
    </row>
    <row r="11" spans="1:12" x14ac:dyDescent="0.25">
      <c r="A11" t="s">
        <v>3</v>
      </c>
      <c r="D11" s="5" t="s">
        <v>15</v>
      </c>
      <c r="E11" s="1">
        <v>12</v>
      </c>
      <c r="G11" s="5" t="s">
        <v>15</v>
      </c>
      <c r="H11" s="2">
        <v>36.083333333333336</v>
      </c>
      <c r="K11" s="5" t="s">
        <v>15</v>
      </c>
      <c r="L11" s="2">
        <v>3.75</v>
      </c>
    </row>
    <row r="12" spans="1:12" x14ac:dyDescent="0.25">
      <c r="A12" s="2">
        <v>4.9591836734693882</v>
      </c>
      <c r="D12" s="5" t="s">
        <v>16</v>
      </c>
      <c r="E12" s="1">
        <v>21</v>
      </c>
      <c r="G12" s="5" t="s">
        <v>16</v>
      </c>
      <c r="H12" s="2">
        <v>43.523809523809526</v>
      </c>
      <c r="K12" s="5" t="s">
        <v>16</v>
      </c>
      <c r="L12" s="2">
        <v>6.5</v>
      </c>
    </row>
    <row r="13" spans="1:12" x14ac:dyDescent="0.25">
      <c r="D13" s="5" t="s">
        <v>17</v>
      </c>
      <c r="E13" s="1">
        <v>12</v>
      </c>
      <c r="G13" s="5" t="s">
        <v>17</v>
      </c>
      <c r="H13" s="2">
        <v>29.5</v>
      </c>
      <c r="K13" s="5" t="s">
        <v>17</v>
      </c>
      <c r="L13" s="2">
        <v>3</v>
      </c>
    </row>
    <row r="14" spans="1:12" x14ac:dyDescent="0.25">
      <c r="D14" s="5" t="s">
        <v>18</v>
      </c>
      <c r="E14" s="1">
        <v>13</v>
      </c>
      <c r="G14" s="5" t="s">
        <v>18</v>
      </c>
      <c r="H14" s="2">
        <v>38.07692307692308</v>
      </c>
      <c r="K14" s="5" t="s">
        <v>18</v>
      </c>
      <c r="L14" s="2">
        <v>4.5</v>
      </c>
    </row>
    <row r="15" spans="1:12" x14ac:dyDescent="0.25">
      <c r="A15" s="4" t="s">
        <v>5</v>
      </c>
      <c r="B15" t="s">
        <v>43</v>
      </c>
      <c r="C15" t="s">
        <v>44</v>
      </c>
      <c r="D15" s="5" t="s">
        <v>19</v>
      </c>
      <c r="E15" s="1">
        <v>13</v>
      </c>
      <c r="G15" s="5" t="s">
        <v>19</v>
      </c>
      <c r="H15" s="2">
        <v>35.846153846153847</v>
      </c>
      <c r="K15" s="5" t="s">
        <v>19</v>
      </c>
      <c r="L15" s="2">
        <v>6</v>
      </c>
    </row>
    <row r="16" spans="1:12" x14ac:dyDescent="0.25">
      <c r="A16" s="5" t="s">
        <v>41</v>
      </c>
      <c r="B16" s="6">
        <v>269</v>
      </c>
      <c r="C16" s="7">
        <v>0.52436647173489281</v>
      </c>
      <c r="D16" s="5" t="s">
        <v>20</v>
      </c>
      <c r="E16" s="1">
        <v>16</v>
      </c>
      <c r="G16" s="5" t="s">
        <v>20</v>
      </c>
      <c r="H16" s="2">
        <v>32.625</v>
      </c>
      <c r="K16" s="5" t="s">
        <v>20</v>
      </c>
      <c r="L16" s="2">
        <v>5.2</v>
      </c>
    </row>
    <row r="17" spans="1:12" x14ac:dyDescent="0.25">
      <c r="A17" s="5" t="s">
        <v>42</v>
      </c>
      <c r="B17" s="6">
        <v>244</v>
      </c>
      <c r="C17" s="7">
        <v>0.47563352826510719</v>
      </c>
      <c r="D17" s="5" t="s">
        <v>21</v>
      </c>
      <c r="E17" s="1">
        <v>20</v>
      </c>
      <c r="G17" s="5" t="s">
        <v>21</v>
      </c>
      <c r="H17" s="2">
        <v>39.200000000000003</v>
      </c>
      <c r="K17" s="5" t="s">
        <v>21</v>
      </c>
      <c r="L17" s="2">
        <v>4.4000000000000004</v>
      </c>
    </row>
    <row r="18" spans="1:12" x14ac:dyDescent="0.25">
      <c r="A18" s="5" t="s">
        <v>4</v>
      </c>
      <c r="B18" s="2">
        <v>513</v>
      </c>
      <c r="C18" s="7">
        <v>1</v>
      </c>
      <c r="D18" s="5" t="s">
        <v>22</v>
      </c>
      <c r="E18" s="1">
        <v>25</v>
      </c>
      <c r="G18" s="5" t="s">
        <v>22</v>
      </c>
      <c r="H18" s="2">
        <v>35.28</v>
      </c>
      <c r="K18" s="5" t="s">
        <v>22</v>
      </c>
      <c r="L18" s="2">
        <v>3.4545454545454546</v>
      </c>
    </row>
    <row r="19" spans="1:12" x14ac:dyDescent="0.25">
      <c r="D19" s="5" t="s">
        <v>23</v>
      </c>
      <c r="E19" s="1">
        <v>20</v>
      </c>
      <c r="G19" s="5" t="s">
        <v>23</v>
      </c>
      <c r="H19" s="2">
        <v>32.549999999999997</v>
      </c>
      <c r="K19" s="5" t="s">
        <v>23</v>
      </c>
      <c r="L19" s="2">
        <v>4.4000000000000004</v>
      </c>
    </row>
    <row r="20" spans="1:12" x14ac:dyDescent="0.25">
      <c r="D20" s="5" t="s">
        <v>24</v>
      </c>
      <c r="E20" s="1">
        <v>14</v>
      </c>
      <c r="G20" s="5" t="s">
        <v>24</v>
      </c>
      <c r="H20" s="2">
        <v>35.642857142857146</v>
      </c>
      <c r="K20" s="5" t="s">
        <v>24</v>
      </c>
      <c r="L20" s="2">
        <v>5.833333333333333</v>
      </c>
    </row>
    <row r="21" spans="1:12" x14ac:dyDescent="0.25">
      <c r="D21" s="5" t="s">
        <v>25</v>
      </c>
      <c r="E21" s="1">
        <v>17</v>
      </c>
      <c r="G21" s="5" t="s">
        <v>25</v>
      </c>
      <c r="H21" s="2">
        <v>38.764705882352942</v>
      </c>
      <c r="K21" s="5" t="s">
        <v>25</v>
      </c>
      <c r="L21" s="2">
        <v>4.4444444444444446</v>
      </c>
    </row>
    <row r="22" spans="1:12" x14ac:dyDescent="0.25">
      <c r="D22" s="5" t="s">
        <v>26</v>
      </c>
      <c r="E22" s="1">
        <v>20</v>
      </c>
      <c r="G22" s="5" t="s">
        <v>26</v>
      </c>
      <c r="H22" s="2">
        <v>39.9</v>
      </c>
      <c r="K22" s="5" t="s">
        <v>26</v>
      </c>
      <c r="L22" s="2">
        <v>5.333333333333333</v>
      </c>
    </row>
    <row r="23" spans="1:12" x14ac:dyDescent="0.25">
      <c r="D23" s="5" t="s">
        <v>27</v>
      </c>
      <c r="E23" s="1">
        <v>10</v>
      </c>
      <c r="G23" s="5" t="s">
        <v>27</v>
      </c>
      <c r="H23" s="2">
        <v>41.6</v>
      </c>
      <c r="K23" s="5" t="s">
        <v>27</v>
      </c>
      <c r="L23" s="2">
        <v>5.333333333333333</v>
      </c>
    </row>
    <row r="24" spans="1:12" x14ac:dyDescent="0.25">
      <c r="D24" s="5" t="s">
        <v>28</v>
      </c>
      <c r="E24" s="1">
        <v>17</v>
      </c>
      <c r="G24" s="5" t="s">
        <v>28</v>
      </c>
      <c r="H24" s="2">
        <v>39.470588235294116</v>
      </c>
      <c r="K24" s="5" t="s">
        <v>28</v>
      </c>
      <c r="L24" s="2">
        <v>5.5714285714285712</v>
      </c>
    </row>
    <row r="25" spans="1:12" x14ac:dyDescent="0.25">
      <c r="D25" s="5" t="s">
        <v>29</v>
      </c>
      <c r="E25" s="1">
        <v>15</v>
      </c>
      <c r="G25" s="5" t="s">
        <v>29</v>
      </c>
      <c r="H25" s="2">
        <v>27.733333333333334</v>
      </c>
      <c r="K25" s="5" t="s">
        <v>29</v>
      </c>
      <c r="L25" s="2">
        <v>5</v>
      </c>
    </row>
    <row r="26" spans="1:12" x14ac:dyDescent="0.25">
      <c r="D26" s="5" t="s">
        <v>30</v>
      </c>
      <c r="E26" s="1">
        <v>16</v>
      </c>
      <c r="G26" s="5" t="s">
        <v>30</v>
      </c>
      <c r="H26" s="2">
        <v>36.875</v>
      </c>
      <c r="K26" s="5" t="s">
        <v>30</v>
      </c>
      <c r="L26" s="2">
        <v>6.4</v>
      </c>
    </row>
    <row r="27" spans="1:12" x14ac:dyDescent="0.25">
      <c r="D27" s="5" t="s">
        <v>31</v>
      </c>
      <c r="E27" s="1">
        <v>18</v>
      </c>
      <c r="G27" s="5" t="s">
        <v>31</v>
      </c>
      <c r="H27" s="2">
        <v>40.333333333333336</v>
      </c>
      <c r="K27" s="5" t="s">
        <v>31</v>
      </c>
      <c r="L27" s="2">
        <v>5.333333333333333</v>
      </c>
    </row>
    <row r="28" spans="1:12" x14ac:dyDescent="0.25">
      <c r="D28" s="5" t="s">
        <v>32</v>
      </c>
      <c r="E28" s="1">
        <v>16</v>
      </c>
      <c r="G28" s="5" t="s">
        <v>32</v>
      </c>
      <c r="H28" s="2">
        <v>36.5</v>
      </c>
      <c r="K28" s="5" t="s">
        <v>32</v>
      </c>
      <c r="L28" s="2">
        <v>3.75</v>
      </c>
    </row>
    <row r="29" spans="1:12" x14ac:dyDescent="0.25">
      <c r="D29" s="5" t="s">
        <v>33</v>
      </c>
      <c r="E29" s="1">
        <v>15</v>
      </c>
      <c r="G29" s="5" t="s">
        <v>33</v>
      </c>
      <c r="H29" s="2">
        <v>32.866666666666667</v>
      </c>
      <c r="K29" s="5" t="s">
        <v>33</v>
      </c>
      <c r="L29" s="2">
        <v>6.333333333333333</v>
      </c>
    </row>
    <row r="30" spans="1:12" x14ac:dyDescent="0.25">
      <c r="D30" s="5" t="s">
        <v>34</v>
      </c>
      <c r="E30" s="1">
        <v>14</v>
      </c>
      <c r="G30" s="5" t="s">
        <v>34</v>
      </c>
      <c r="H30" s="2">
        <v>36.642857142857146</v>
      </c>
      <c r="K30" s="5" t="s">
        <v>34</v>
      </c>
      <c r="L30" s="2">
        <v>10</v>
      </c>
    </row>
    <row r="31" spans="1:12" x14ac:dyDescent="0.25">
      <c r="D31" s="5" t="s">
        <v>35</v>
      </c>
      <c r="E31" s="1">
        <v>16</v>
      </c>
      <c r="G31" s="5" t="s">
        <v>35</v>
      </c>
      <c r="H31" s="2">
        <v>36.5625</v>
      </c>
      <c r="K31" s="5" t="s">
        <v>35</v>
      </c>
      <c r="L31" s="2">
        <v>5</v>
      </c>
    </row>
    <row r="32" spans="1:12" x14ac:dyDescent="0.25">
      <c r="D32" s="5" t="s">
        <v>36</v>
      </c>
      <c r="E32" s="1">
        <v>20</v>
      </c>
      <c r="G32" s="5" t="s">
        <v>36</v>
      </c>
      <c r="H32" s="2">
        <v>32.15</v>
      </c>
      <c r="K32" s="5" t="s">
        <v>36</v>
      </c>
      <c r="L32" s="2">
        <v>5.333333333333333</v>
      </c>
    </row>
    <row r="33" spans="1:12" x14ac:dyDescent="0.25">
      <c r="D33" s="5" t="s">
        <v>37</v>
      </c>
      <c r="E33" s="1">
        <v>19</v>
      </c>
      <c r="G33" s="5" t="s">
        <v>37</v>
      </c>
      <c r="H33" s="2">
        <v>38.368421052631582</v>
      </c>
      <c r="K33" s="5" t="s">
        <v>37</v>
      </c>
      <c r="L33" s="2">
        <v>4.8</v>
      </c>
    </row>
    <row r="34" spans="1:12" x14ac:dyDescent="0.25">
      <c r="D34" s="5" t="s">
        <v>38</v>
      </c>
      <c r="E34" s="1">
        <v>14</v>
      </c>
      <c r="G34" s="5" t="s">
        <v>38</v>
      </c>
      <c r="H34" s="2">
        <v>33.071428571428569</v>
      </c>
      <c r="K34" s="5" t="s">
        <v>38</v>
      </c>
      <c r="L34" s="2">
        <v>5</v>
      </c>
    </row>
    <row r="35" spans="1:12" x14ac:dyDescent="0.25">
      <c r="D35" s="5" t="s">
        <v>39</v>
      </c>
      <c r="E35" s="1">
        <v>18</v>
      </c>
      <c r="G35" s="5" t="s">
        <v>39</v>
      </c>
      <c r="H35" s="2">
        <v>36.444444444444443</v>
      </c>
      <c r="K35" s="5" t="s">
        <v>39</v>
      </c>
      <c r="L35" s="2">
        <v>1.4</v>
      </c>
    </row>
    <row r="36" spans="1:12" x14ac:dyDescent="0.25">
      <c r="D36" s="5" t="s">
        <v>4</v>
      </c>
      <c r="E36" s="1">
        <v>513</v>
      </c>
      <c r="G36" s="5" t="s">
        <v>4</v>
      </c>
      <c r="H36" s="2">
        <v>36.323586744639378</v>
      </c>
      <c r="K36" s="5" t="s">
        <v>4</v>
      </c>
      <c r="L36" s="2">
        <v>4.9591836734693882</v>
      </c>
    </row>
    <row r="39" spans="1:12" x14ac:dyDescent="0.25">
      <c r="A39" s="9" t="s">
        <v>45</v>
      </c>
      <c r="B39" s="9" t="s">
        <v>73</v>
      </c>
      <c r="C39" s="9" t="s">
        <v>46</v>
      </c>
      <c r="D39" s="10"/>
      <c r="E39" s="11"/>
    </row>
    <row r="40" spans="1:12" x14ac:dyDescent="0.25">
      <c r="A40" s="8" t="str">
        <f>A17</f>
        <v>Not Admitted</v>
      </c>
      <c r="B40" s="12">
        <f>B17</f>
        <v>244</v>
      </c>
      <c r="C40" s="14">
        <f>C17</f>
        <v>0.47563352826510719</v>
      </c>
      <c r="D40" s="8"/>
      <c r="E40" s="11"/>
    </row>
    <row r="41" spans="1:12" x14ac:dyDescent="0.25">
      <c r="A41" s="8" t="str">
        <f>A16</f>
        <v>Admitted</v>
      </c>
      <c r="B41" s="13">
        <f>B16</f>
        <v>269</v>
      </c>
      <c r="C41" s="14">
        <f>C16</f>
        <v>0.52436647173489281</v>
      </c>
      <c r="D41" s="8"/>
      <c r="E41" s="11"/>
    </row>
    <row r="42" spans="1:12" x14ac:dyDescent="0.25">
      <c r="E42" s="11"/>
    </row>
    <row r="45" spans="1:12" x14ac:dyDescent="0.25">
      <c r="A45" t="s">
        <v>56</v>
      </c>
    </row>
    <row r="46" spans="1:12" x14ac:dyDescent="0.25">
      <c r="A46" s="4" t="s">
        <v>5</v>
      </c>
      <c r="B46" t="s">
        <v>55</v>
      </c>
    </row>
    <row r="47" spans="1:12" x14ac:dyDescent="0.25">
      <c r="A47" s="5" t="s">
        <v>47</v>
      </c>
      <c r="B47" s="6">
        <v>76</v>
      </c>
    </row>
    <row r="48" spans="1:12" x14ac:dyDescent="0.25">
      <c r="A48" s="5" t="s">
        <v>48</v>
      </c>
      <c r="B48" s="6">
        <v>69</v>
      </c>
    </row>
    <row r="49" spans="1:2" x14ac:dyDescent="0.25">
      <c r="A49" s="5" t="s">
        <v>49</v>
      </c>
      <c r="B49" s="6">
        <v>64</v>
      </c>
    </row>
    <row r="50" spans="1:2" x14ac:dyDescent="0.25">
      <c r="A50" s="5" t="s">
        <v>50</v>
      </c>
      <c r="B50" s="6">
        <v>59</v>
      </c>
    </row>
    <row r="51" spans="1:2" x14ac:dyDescent="0.25">
      <c r="A51" s="5" t="s">
        <v>51</v>
      </c>
      <c r="B51" s="6">
        <v>58</v>
      </c>
    </row>
    <row r="52" spans="1:2" x14ac:dyDescent="0.25">
      <c r="A52" s="5" t="s">
        <v>52</v>
      </c>
      <c r="B52" s="6">
        <v>66</v>
      </c>
    </row>
    <row r="53" spans="1:2" x14ac:dyDescent="0.25">
      <c r="A53" s="5" t="s">
        <v>53</v>
      </c>
      <c r="B53" s="6">
        <v>67</v>
      </c>
    </row>
    <row r="54" spans="1:2" x14ac:dyDescent="0.25">
      <c r="A54" s="5" t="s">
        <v>54</v>
      </c>
      <c r="B54" s="6">
        <v>54</v>
      </c>
    </row>
    <row r="55" spans="1:2" x14ac:dyDescent="0.25">
      <c r="A55" s="5" t="s">
        <v>4</v>
      </c>
      <c r="B55" s="6">
        <v>513</v>
      </c>
    </row>
    <row r="58" spans="1:2" x14ac:dyDescent="0.25">
      <c r="A58" s="4" t="s">
        <v>5</v>
      </c>
      <c r="B58" t="s">
        <v>59</v>
      </c>
    </row>
    <row r="59" spans="1:2" x14ac:dyDescent="0.25">
      <c r="A59" s="5" t="s">
        <v>58</v>
      </c>
      <c r="B59" s="6">
        <v>316</v>
      </c>
    </row>
    <row r="60" spans="1:2" x14ac:dyDescent="0.25">
      <c r="A60" s="5" t="s">
        <v>57</v>
      </c>
      <c r="B60" s="6">
        <v>197</v>
      </c>
    </row>
    <row r="61" spans="1:2" x14ac:dyDescent="0.25">
      <c r="A61" s="5" t="s">
        <v>4</v>
      </c>
      <c r="B61" s="6">
        <v>513</v>
      </c>
    </row>
    <row r="64" spans="1:2" x14ac:dyDescent="0.25">
      <c r="A64" s="4" t="s">
        <v>5</v>
      </c>
      <c r="B64" t="s">
        <v>62</v>
      </c>
    </row>
    <row r="65" spans="1:2" x14ac:dyDescent="0.25">
      <c r="A65" s="5" t="s">
        <v>60</v>
      </c>
      <c r="B65" s="15">
        <v>0.46978557504873292</v>
      </c>
    </row>
    <row r="66" spans="1:2" x14ac:dyDescent="0.25">
      <c r="A66" s="5" t="s">
        <v>61</v>
      </c>
      <c r="B66" s="15">
        <v>0.53021442495126703</v>
      </c>
    </row>
    <row r="67" spans="1:2" x14ac:dyDescent="0.25">
      <c r="A67" s="5" t="s">
        <v>4</v>
      </c>
      <c r="B67" s="7">
        <v>1</v>
      </c>
    </row>
    <row r="71" spans="1:2" x14ac:dyDescent="0.25">
      <c r="A71" s="4" t="s">
        <v>5</v>
      </c>
      <c r="B71" t="s">
        <v>71</v>
      </c>
    </row>
    <row r="72" spans="1:2" x14ac:dyDescent="0.25">
      <c r="A72" s="5" t="s">
        <v>64</v>
      </c>
      <c r="B72" s="6">
        <v>4</v>
      </c>
    </row>
    <row r="73" spans="1:2" x14ac:dyDescent="0.25">
      <c r="A73" s="5" t="s">
        <v>70</v>
      </c>
      <c r="B73" s="6">
        <v>5</v>
      </c>
    </row>
    <row r="74" spans="1:2" x14ac:dyDescent="0.25">
      <c r="A74" s="5" t="s">
        <v>66</v>
      </c>
      <c r="B74" s="6">
        <v>9</v>
      </c>
    </row>
    <row r="75" spans="1:2" x14ac:dyDescent="0.25">
      <c r="A75" s="5" t="s">
        <v>69</v>
      </c>
      <c r="B75" s="6">
        <v>14</v>
      </c>
    </row>
    <row r="76" spans="1:2" x14ac:dyDescent="0.25">
      <c r="A76" s="5" t="s">
        <v>63</v>
      </c>
      <c r="B76" s="6">
        <v>14</v>
      </c>
    </row>
    <row r="77" spans="1:2" x14ac:dyDescent="0.25">
      <c r="A77" s="5" t="s">
        <v>68</v>
      </c>
      <c r="B77" s="6">
        <v>65</v>
      </c>
    </row>
    <row r="78" spans="1:2" x14ac:dyDescent="0.25">
      <c r="A78" s="5" t="s">
        <v>65</v>
      </c>
      <c r="B78" s="6">
        <v>103</v>
      </c>
    </row>
    <row r="79" spans="1:2" x14ac:dyDescent="0.25">
      <c r="A79" s="5" t="s">
        <v>67</v>
      </c>
      <c r="B79" s="6">
        <v>299</v>
      </c>
    </row>
    <row r="80" spans="1:2" x14ac:dyDescent="0.25">
      <c r="A80" s="5" t="s">
        <v>4</v>
      </c>
      <c r="B80" s="6">
        <v>513</v>
      </c>
    </row>
    <row r="84" spans="1:1" x14ac:dyDescent="0.25">
      <c r="A84" s="4" t="s">
        <v>5</v>
      </c>
    </row>
    <row r="85" spans="1:1" x14ac:dyDescent="0.25">
      <c r="A85" s="5" t="s">
        <v>72</v>
      </c>
    </row>
    <row r="86" spans="1:1" x14ac:dyDescent="0.25">
      <c r="A86" s="5" t="s">
        <v>4</v>
      </c>
    </row>
  </sheetData>
  <pageMargins left="0.7" right="0.7" top="0.75" bottom="0.75" header="0.3" footer="0.3"/>
  <pageSetup paperSize="9" orientation="portrait"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1AD7-CB69-4903-A8C2-F96291778790}">
  <dimension ref="A1"/>
  <sheetViews>
    <sheetView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F837C-A9CA-4EC2-BD00-EED1BA389252}">
  <sheetPr>
    <pageSetUpPr autoPageBreaks="0"/>
  </sheetPr>
  <dimension ref="A1:M16"/>
  <sheetViews>
    <sheetView tabSelected="1" zoomScale="180" zoomScaleNormal="180" workbookViewId="0">
      <selection activeCell="L5" sqref="L5"/>
    </sheetView>
  </sheetViews>
  <sheetFormatPr defaultRowHeight="15" x14ac:dyDescent="0.25"/>
  <cols>
    <col min="7" max="7" width="9.42578125" customWidth="1"/>
  </cols>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row r="16" spans="1:13" x14ac:dyDescent="0.25">
      <c r="A16" s="3"/>
      <c r="B16" s="3"/>
      <c r="C16" s="3"/>
      <c r="D16" s="3"/>
      <c r="E16" s="3"/>
      <c r="F16" s="3"/>
      <c r="G16" s="3"/>
      <c r="H16" s="3"/>
      <c r="I16" s="3"/>
      <c r="J16" s="3"/>
      <c r="K16" s="3"/>
      <c r="L16" s="3"/>
      <c r="M16" s="3"/>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2CDE7-74C3-485D-939B-2ABF6F7E2F78}">
  <dimension ref="A1"/>
  <sheetViews>
    <sheetView workbookViewId="0">
      <selection activeCell="R20" sqref="R20"/>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6F669-ECC4-40D9-BEE8-A5BAD79C387D}">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5D3EDA0-8103-4E9C-8A39-75C6C2581AEC}">
  <ds:schemaRefs/>
</ds:datastoreItem>
</file>

<file path=customXml/itemProps2.xml><?xml version="1.0" encoding="utf-8"?>
<ds:datastoreItem xmlns:ds="http://schemas.openxmlformats.org/officeDocument/2006/customXml" ds:itemID="{B6A7F699-C5EA-4A8F-8493-EE7E9EFC05AD}">
  <ds:schemaRefs/>
</ds:datastoreItem>
</file>

<file path=customXml/itemProps3.xml><?xml version="1.0" encoding="utf-8"?>
<ds:datastoreItem xmlns:ds="http://schemas.openxmlformats.org/officeDocument/2006/customXml" ds:itemID="{1E1442FA-2247-45AB-AAE3-D334113D6B72}">
  <ds:schemaRefs/>
</ds:datastoreItem>
</file>

<file path=customXml/itemProps4.xml><?xml version="1.0" encoding="utf-8"?>
<ds:datastoreItem xmlns:ds="http://schemas.openxmlformats.org/officeDocument/2006/customXml" ds:itemID="{C615CBAA-2414-4715-BD12-44C6DB72065F}">
  <ds:schemaRefs/>
</ds:datastoreItem>
</file>

<file path=customXml/itemProps5.xml><?xml version="1.0" encoding="utf-8"?>
<ds:datastoreItem xmlns:ds="http://schemas.openxmlformats.org/officeDocument/2006/customXml" ds:itemID="{43E04586-A819-4DFB-8E41-7F24ACB9692A}">
  <ds:schemaRefs/>
</ds:datastoreItem>
</file>

<file path=customXml/itemProps6.xml><?xml version="1.0" encoding="utf-8"?>
<ds:datastoreItem xmlns:ds="http://schemas.openxmlformats.org/officeDocument/2006/customXml" ds:itemID="{0E77E132-2472-4602-BFFF-887E9DF4D6EB}">
  <ds:schemaRefs/>
</ds:datastoreItem>
</file>

<file path=customXml/itemProps7.xml><?xml version="1.0" encoding="utf-8"?>
<ds:datastoreItem xmlns:ds="http://schemas.openxmlformats.org/officeDocument/2006/customXml" ds:itemID="{F6344F41-7A3D-43CB-9C14-9BB295037AD6}">
  <ds:schemaRefs/>
</ds:datastoreItem>
</file>

<file path=customXml/itemProps8.xml><?xml version="1.0" encoding="utf-8"?>
<ds:datastoreItem xmlns:ds="http://schemas.openxmlformats.org/officeDocument/2006/customXml" ds:itemID="{609B4ED6-5A30-4DA3-AE5F-EC819F8C0D9F}">
  <ds:schemaRefs/>
</ds:datastoreItem>
</file>

<file path=customXml/itemProps9.xml><?xml version="1.0" encoding="utf-8"?>
<ds:datastoreItem xmlns:ds="http://schemas.openxmlformats.org/officeDocument/2006/customXml" ds:itemID="{C4B45FCF-AEBC-4348-B831-0DA585FF0614}">
  <ds:schemaRefs/>
</ds:datastoreItem>
</file>

<file path=customXml/itemProps10.xml><?xml version="1.0" encoding="utf-8"?>
<ds:datastoreItem xmlns:ds="http://schemas.openxmlformats.org/officeDocument/2006/customXml" ds:itemID="{9A1251E2-2233-41E1-9FFA-31B72F78B4E5}">
  <ds:schemaRefs/>
</ds:datastoreItem>
</file>

<file path=customXml/itemProps11.xml><?xml version="1.0" encoding="utf-8"?>
<ds:datastoreItem xmlns:ds="http://schemas.openxmlformats.org/officeDocument/2006/customXml" ds:itemID="{BB84BF8F-11F8-4975-B853-0AF020E51848}">
  <ds:schemaRefs/>
</ds:datastoreItem>
</file>

<file path=customXml/itemProps12.xml><?xml version="1.0" encoding="utf-8"?>
<ds:datastoreItem xmlns:ds="http://schemas.openxmlformats.org/officeDocument/2006/customXml" ds:itemID="{18F32968-AE1F-45BF-8F8E-F44255D2F47F}">
  <ds:schemaRefs/>
</ds:datastoreItem>
</file>

<file path=customXml/itemProps13.xml><?xml version="1.0" encoding="utf-8"?>
<ds:datastoreItem xmlns:ds="http://schemas.openxmlformats.org/officeDocument/2006/customXml" ds:itemID="{B5DD15EA-D926-45CE-BDB8-E201503AC98F}">
  <ds:schemaRefs/>
</ds:datastoreItem>
</file>

<file path=customXml/itemProps14.xml><?xml version="1.0" encoding="utf-8"?>
<ds:datastoreItem xmlns:ds="http://schemas.openxmlformats.org/officeDocument/2006/customXml" ds:itemID="{9859AA81-11AB-4B71-BF14-CE5DEE5E5D8C}">
  <ds:schemaRefs/>
</ds:datastoreItem>
</file>

<file path=customXml/itemProps15.xml><?xml version="1.0" encoding="utf-8"?>
<ds:datastoreItem xmlns:ds="http://schemas.openxmlformats.org/officeDocument/2006/customXml" ds:itemID="{6AB81315-23DB-48E0-A2E2-09B719E5EBCF}">
  <ds:schemaRefs/>
</ds:datastoreItem>
</file>

<file path=customXml/itemProps16.xml><?xml version="1.0" encoding="utf-8"?>
<ds:datastoreItem xmlns:ds="http://schemas.openxmlformats.org/officeDocument/2006/customXml" ds:itemID="{A0F19E4E-072E-47FC-B854-B1396F6B288E}">
  <ds:schemaRefs/>
</ds:datastoreItem>
</file>

<file path=customXml/itemProps17.xml><?xml version="1.0" encoding="utf-8"?>
<ds:datastoreItem xmlns:ds="http://schemas.openxmlformats.org/officeDocument/2006/customXml" ds:itemID="{ABDE670C-385D-4E25-8C7A-21A45728A8A4}">
  <ds:schemaRefs/>
</ds:datastoreItem>
</file>

<file path=customXml/itemProps18.xml><?xml version="1.0" encoding="utf-8"?>
<ds:datastoreItem xmlns:ds="http://schemas.openxmlformats.org/officeDocument/2006/customXml" ds:itemID="{DB3C7128-AF68-444D-B815-6D2BC39363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Satisfaction Score Daily trend</vt:lpstr>
      <vt:lpstr>Dashboard</vt:lpstr>
      <vt:lpstr>Avg Wait time</vt:lpstr>
      <vt:lpstr>Daily ER Visits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2026-09-11T09:54:16Z</dcterms:created>
  <dcterms:modified xsi:type="dcterms:W3CDTF">2026-10-09T11:36:27Z</dcterms:modified>
</cp:coreProperties>
</file>